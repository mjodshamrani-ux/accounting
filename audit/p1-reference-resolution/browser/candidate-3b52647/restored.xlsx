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<sst xmlns="http://schemas.openxmlformats.org/spreadsheetml/2006/main" count="443" uniqueCount="238">
  <si>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</si>
  <si>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</si>
  <si>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</si>
  <si>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</si>
  <si>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</si>
  <si>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</si>
  <si>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</si>
  <si>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</si>
  <si>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</si>
  <si>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</si>
  <si>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</si>
  <si>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</si>
  <si>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</si>
  <si>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</si>
  <si>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</si>
  <si>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</si>
  <si>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</si>
  <si>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</si>
  <si>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</si>
  <si>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</si>
  <si>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</si>
  <si>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</si>
  <si>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</si>
  <si>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</si>
  <si>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</si>
  <si>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</si>
  <si>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</si>
  <si>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</si>
  <si>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</si>
  <si>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</si>
  <si>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</si>
  <si>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</si>
  <si>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</si>
  <si>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</si>
  <si>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</si>
  <si>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</si>
  <si>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</si>
  <si>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</si>
  <si>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</si>
  <si>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</si>
  <si>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</si>
  <si>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</si>
  <si>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</si>
  <si>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</si>
  <si>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</si>
  <si>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</si>
  <si>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</si>
  <si>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</si>
  <si>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</si>
  <si>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</si>
  <si>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</si>
  <si>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</si>
  <si>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</si>
  <si>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</si>
  <si>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</si>
  <si>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</si>
  <si>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</si>
  <si>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</si>
  <si>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</si>
  <si>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</si>
  <si>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</si>
  <si>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</si>
  <si>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</si>
  <si>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</si>
  <si>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</si>
  <si>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</si>
  <si>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</si>
  <si>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</si>
  <si>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</si>
  <si>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</si>
  <si>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</si>
  <si>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</si>
  <si>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</si>
  <si>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CASE-3138D668</t>
  </si>
  <si>
    <t>1:1</t>
  </si>
  <si>
    <t>INV-8170</t>
  </si>
  <si>
    <t>1 supplier / 1 ledger</t>
  </si>
  <si>
    <t>EXACT_DOCUMENT_CHOSEN_REFERENCE_UNIQUE_V1</t>
  </si>
  <si>
    <t>رقم المستند INV-8170 متكرر، لكن المرجع المختار LINE-0011 يميز هذا الصف وحده داخل المستند في كل طرف. يتطابق المرجعان بنصهما الأصلي والمبلغ بإشارته، وفرق التاريخ 0 يوم.</t>
  </si>
  <si>
    <t>Matched</t>
  </si>
  <si>
    <t>Auto</t>
  </si>
  <si>
    <t>supplier · CSV · row 2</t>
  </si>
  <si>
    <t>ledger · CSV · row 3</t>
  </si>
  <si>
    <t>CASE-81B1D7B6</t>
  </si>
  <si>
    <t>رقم المستند INV-8170 متكرر، لكن المرجع المختار LINE-0012 يميز هذا الصف وحده داخل المستند في كل طرف. يتطابق المرجعان بنصهما الأصلي والمبلغ بإشارته، وفرق التاريخ 0 يوم.</t>
  </si>
  <si>
    <t>supplier · CSV · row 3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</si>
  <si>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</si>
  <si>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</si>
  <si>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</si>
  <si>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</si>
  <si>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</si>
  <si>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</si>
  <si>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</si>
  <si>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</si>
  <si>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</si>
  <si>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</si>
  <si>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</si>
  <si>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</si>
  <si>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</si>
  <si>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</si>
  <si>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</si>
  <si>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</si>
  <si>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</si>
  <si>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</si>
  <si>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</si>
  <si>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</si>
  <si>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</si>
  <si>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</si>
  <si>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</si>
  <si>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</si>
  <si>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</si>
  <si>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</si>
  <si>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</si>
  <si>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Synthetic P1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</si>
  <si>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</si>
  <si>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</si>
  <si>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</si>
  <si>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</si>
  <si>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</si>
  <si>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</si>
  <si>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</si>
  <si>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</si>
  <si>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Browser acceptance: repeated document, selected reference, reversed ledger rows.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</si>
  <si>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</si>
  <si>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</si>
  <si>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</si>
  <si>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</si>
  <si>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</si>
  <si>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</si>
  <si>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</si>
  <si>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</si>
  <si>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</si>
  <si>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</si>
  <si>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</si>
  <si>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</si>
  <si>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ledger:0:3</t>
  </si>
  <si>
    <t>supplier:0:3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</si>
  <si>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</si>
  <si>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</si>
  <si>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</si>
  <si>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</si>
  <si>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</si>
  <si>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</si>
  <si>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</si>
  <si>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</si>
  <si>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</si>
  <si>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</si>
  <si>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</si>
  <si>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</si>
  <si>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</si>
  <si>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</t>
  </si>
  <si>
    <t>supplier:0:2</t>
  </si>
  <si>
    <t>mappedReference (Reference): LINE-0011</t>
  </si>
  <si>
    <t>ledger</t>
  </si>
  <si>
    <t>ledger:0:3</t>
  </si>
  <si>
    <t>supplier:0:3</t>
  </si>
  <si>
    <t>mappedReference (Reference): LINE-0012</t>
  </si>
  <si>
    <t>ledger:0:2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</si>
  <si>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</si>
  <si>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</si>
  <si>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</si>
  <si>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</si>
  <si>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</si>
  <si>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</si>
  <si>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</si>
  <si>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</si>
  <si>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</si>
  <si>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</si>
  <si>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</si>
  <si>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</si>
  <si>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</si>
  <si>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</si>
  <si>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</si>
  <si>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INV8170</t>
  </si>
  <si>
    <t>Supplier goods</t>
  </si>
  <si>
    <t>100.00</t>
  </si>
  <si>
    <t>Ledger goods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</si>
  <si>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</si>
  <si>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</si>
  <si>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</si>
  <si>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</si>
  <si>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</si>
  <si>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No","Reference","Type","Description","Amount"]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</si>
  <si>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</si>
  <si>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</si>
  <si>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</si>
  <si>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</si>
  <si>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</si>
  <si>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</si>
  <si>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0,"header":0,"date":0,"reference":2,"description":4,"amount":5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</si>
  <si>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</si>
  <si>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</si>
  <si>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</si>
  <si>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</si>
  <si>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</si>
  <si>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</si>
  <si>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</si>
  <si>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</si>
  <si>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</si>
  <si>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</si>
  <si>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</si>
  <si>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</si>
  <si>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</si>
  <si>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supplier.csv</t>
  </si>
  <si>
    <t>Ledger filename</t>
  </si>
  <si>
    <t>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</si>
  <si>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</si>
  <si>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</si>
  <si>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</si>
  <si>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</si>
  <si>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</si>
  <si>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</si>
  <si>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</si>
  <si>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</si>
  <si>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</si>
  <si>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</si>
  <si>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Document No</t>
  </si>
  <si>
    <t>Type</t>
  </si>
  <si>
    <t>2026-07-09</t>
  </si>
  <si>
    <t>LINE-0011</t>
  </si>
  <si>
    <t>Invoice</t>
  </si>
  <si>
    <t>LINE-0012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</si>
  <si>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</si>
  <si>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</si>
  <si>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</si>
  <si>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</si>
  <si>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</si>
  <si>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</si>
  <si>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0.3.18-experimental</t>
  </si>
  <si>
    <t>Supplier SHA-256</t>
  </si>
  <si>
    <t>0bda3d4bd7207deb4260aa71c66d72bac19d99349525b590b2bd6553919b0f0a</t>
  </si>
  <si>
    <t>Ledger SHA-256</t>
  </si>
  <si>
    <t>92773d484971d04319303fdbfb5a031cf7c9a46772437f591c8cd8112296f87a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</si>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</sst>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14</v>
      </c>
    </row>
    <row r="13" ht="30" customHeight="1" spans="1:2" s="3" customFormat="1" x14ac:dyDescent="0.25">
      <c r="A13" s="3" t="s">
        <v>16</v>
      </c>
      <c r="B13" s="3"/>
    </row>
    <row r="14" ht="30" customHeight="1" spans="1:2" s="3" customFormat="1" x14ac:dyDescent="0.25">
      <c r="A14" s="3" t="s">
        <v>17</v>
      </c>
      <c r="B14" s="3"/>
    </row>
    <row r="15" ht="30" customHeight="1" spans="1:2" s="3" customFormat="1" x14ac:dyDescent="0.25">
      <c r="A15" s="3" t="s">
        <v>18</v>
      </c>
      <c r="B15" s="3"/>
    </row>
    <row r="16" ht="30" customHeight="1" spans="1:2" s="3" customFormat="1" x14ac:dyDescent="0.25">
      <c r="A16" s="3" t="s">
        <v>19</v>
      </c>
      <c r="B16" s="3" t="s">
        <v>20</v>
      </c>
    </row>
    <row r="17" ht="30" customHeight="1" spans="1:2" s="3" customFormat="1" x14ac:dyDescent="0.25">
      <c r="A17" s="3" t="s">
        <v>21</v>
      </c>
      <c r="B17" s="5"/>
    </row>
    <row r="18" ht="30" customHeight="1" spans="1:2" s="3" customFormat="1" x14ac:dyDescent="0.25">
      <c r="A18" s="3" t="s">
        <v>22</v>
      </c>
      <c r="B18" s="5"/>
    </row>
    <row r="19" ht="30" customHeight="1" spans="1:2" s="3" customFormat="1" x14ac:dyDescent="0.25">
      <c r="A19" s="3" t="s">
        <v>23</v>
      </c>
      <c r="B19" s="5"/>
    </row>
    <row r="20" ht="30" customHeight="1" spans="1:2" s="3" customFormat="1" x14ac:dyDescent="0.25">
      <c r="A20" s="3" t="s">
        <v>24</v>
      </c>
      <c r="B20" s="5"/>
    </row>
    <row r="21" ht="30" customHeight="1" spans="1:2" s="3" customFormat="1" x14ac:dyDescent="0.25">
      <c r="A21" s="3" t="s">
        <v>25</v>
      </c>
      <c r="B21" s="5"/>
    </row>
    <row r="22" ht="30" customHeight="1" spans="1:2" s="3" customFormat="1" x14ac:dyDescent="0.25">
      <c r="A22" s="3" t="s">
        <v>26</v>
      </c>
      <c r="B22" s="5"/>
    </row>
    <row r="23" ht="30" customHeight="1" spans="1:2" s="3" customFormat="1" x14ac:dyDescent="0.25">
      <c r="A23" s="3" t="s">
        <v>27</v>
      </c>
      <c r="B23" s="3" t="s">
        <v>28</v>
      </c>
    </row>
    <row r="24" ht="30" customHeight="1" spans="1:2" s="3" customFormat="1" x14ac:dyDescent="0.25">
      <c r="A24" s="3" t="s">
        <v>29</v>
      </c>
      <c r="B24" s="3" t="s">
        <v>28</v>
      </c>
    </row>
    <row r="25" ht="30" customHeight="1" spans="1:2" s="3" customFormat="1" x14ac:dyDescent="0.25">
      <c r="A25" s="3" t="s">
        <v>30</v>
      </c>
      <c r="B25" s="3" t="s">
        <v>31</v>
      </c>
    </row>
    <row r="26" ht="30" customHeight="1" spans="1:2" s="3" customFormat="1" x14ac:dyDescent="0.25">
      <c r="A26" s="3" t="s">
        <v>32</v>
      </c>
      <c r="B26" s="3" t="s">
        <v>31</v>
      </c>
    </row>
    <row r="27" ht="30" customHeight="1" spans="1:2" s="3" customFormat="1" x14ac:dyDescent="0.25">
      <c r="A27" s="3" t="s">
        <v>33</v>
      </c>
      <c r="B27" s="3" t="s">
        <v>34</v>
      </c>
    </row>
    <row r="28" ht="30" customHeight="1" spans="1:2" s="3" customFormat="1" x14ac:dyDescent="0.25">
      <c r="A28" s="3" t="s">
        <v>35</v>
      </c>
      <c r="B28" s="6">
        <f>COUNTIF('Matches'!Q2:Q3,"Auto")</f>
        <v>2</v>
      </c>
    </row>
    <row r="29" ht="30" customHeight="1" spans="1:2" s="3" customFormat="1" x14ac:dyDescent="0.25">
      <c r="A29" s="3" t="s">
        <v>36</v>
      </c>
      <c r="B29" s="6">
        <f>SUM('Matches'!O2:P3)</f>
        <v>4</v>
      </c>
    </row>
    <row r="30" ht="30" customHeight="1" spans="1:2" s="3" customFormat="1" x14ac:dyDescent="0.25">
      <c r="A30" s="3" t="s">
        <v>37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38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39</v>
      </c>
      <c r="B32" s="6">
        <f>COUNTA('Unmatched'!A2:A2)</f>
        <v>0</v>
      </c>
    </row>
    <row r="33" ht="30" customHeight="1" spans="1:2" s="3" customFormat="1" x14ac:dyDescent="0.25">
      <c r="A33" s="3" t="s">
        <v>40</v>
      </c>
      <c r="B33" s="6">
        <f>SUM('Unmatched'!K2:K2)</f>
        <v>0</v>
      </c>
    </row>
    <row r="34" ht="30" customHeight="1" spans="1:2" s="3" customFormat="1" x14ac:dyDescent="0.25">
      <c r="A34" s="3" t="s">
        <v>41</v>
      </c>
      <c r="B34" s="3">
        <f>COUNTIF('Matches'!Q2:Q3,"Manual")</f>
        <v>0</v>
      </c>
    </row>
    <row r="35" ht="30" customHeight="1" spans="1:2" s="3" customFormat="1" x14ac:dyDescent="0.25">
      <c r="A35" s="3" t="s">
        <v>42</v>
      </c>
      <c r="B35" s="3">
        <f>COUNTIF('Needs Review'!M2:M2,"Rejected")</f>
        <v>0</v>
      </c>
    </row>
    <row r="36" ht="30" customHeight="1" spans="1:2" s="3" customFormat="1" x14ac:dyDescent="0.25">
      <c r="A36" s="3" t="s">
        <v>43</v>
      </c>
      <c r="B36" s="5">
        <f>'Reconciliation Bridge'!E3</f>
        <v>0</v>
      </c>
    </row>
    <row r="37" ht="30" customHeight="1" spans="1:2" s="3" customFormat="1" x14ac:dyDescent="0.25">
      <c r="A37" s="3" t="s">
        <v>44</v>
      </c>
      <c r="B37" s="5"/>
    </row>
    <row r="38" ht="30" customHeight="1" spans="1:2" s="3" customFormat="1" x14ac:dyDescent="0.25">
      <c r="A38" s="3" t="s">
        <v>45</v>
      </c>
      <c r="B38" s="5"/>
    </row>
    <row r="39" ht="30" customHeight="1" spans="1:2" s="3" customFormat="1" x14ac:dyDescent="0.25">
      <c r="A39" s="3" t="s">
        <v>46</v>
      </c>
      <c r="B39" s="3" t="s">
        <v>47</v>
      </c>
    </row>
    <row r="40" ht="30" customHeight="1" spans="1:2" s="3" customFormat="1" x14ac:dyDescent="0.25">
      <c r="A40" s="3" t="s">
        <v>48</v>
      </c>
      <c r="B40" s="6" t="s">
        <v>49</v>
      </c>
    </row>
    <row r="41" ht="30" customHeight="1" spans="1:2" s="3" customFormat="1" x14ac:dyDescent="0.25">
      <c r="A41" s="3" t="s">
        <v>50</v>
      </c>
      <c r="B41" s="3" t="s">
        <v>51</v>
      </c>
    </row>
    <row r="42" ht="30" customHeight="1" spans="1:2" s="3" customFormat="1" x14ac:dyDescent="0.25">
      <c r="A42" s="3" t="s">
        <v>52</v>
      </c>
      <c r="B42" s="3" t="s">
        <v>53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8" t="s">
        <v>58</v>
      </c>
      <c r="F1" s="2" t="s">
        <v>59</v>
      </c>
      <c r="G1" s="2" t="s">
        <v>60</v>
      </c>
      <c r="H1" s="8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  <c r="N1" s="2" t="s">
        <v>67</v>
      </c>
      <c r="O1" s="2" t="s">
        <v>68</v>
      </c>
      <c r="P1" s="2" t="s">
        <v>69</v>
      </c>
      <c r="Q1" s="2" t="s">
        <v>70</v>
      </c>
      <c r="R1" s="2" t="s">
        <v>71</v>
      </c>
      <c r="S1" s="2" t="s">
        <v>72</v>
      </c>
    </row>
    <row r="2" ht="42" customHeight="1" spans="1:19" s="9" customFormat="1" x14ac:dyDescent="0.25">
      <c r="A2" s="10" t="s">
        <v>73</v>
      </c>
      <c r="B2" s="10" t="s">
        <v>74</v>
      </c>
      <c r="C2" s="11">
        <v>46212</v>
      </c>
      <c r="D2" s="10" t="s">
        <v>75</v>
      </c>
      <c r="E2" s="12">
        <v>100</v>
      </c>
      <c r="F2" s="11">
        <v>46212</v>
      </c>
      <c r="G2" s="10" t="s">
        <v>75</v>
      </c>
      <c r="H2" s="12">
        <v>100</v>
      </c>
      <c r="I2" s="10" t="s">
        <v>76</v>
      </c>
      <c r="J2" s="10">
        <v>0</v>
      </c>
      <c r="K2" s="10" t="s">
        <v>77</v>
      </c>
      <c r="L2" s="10" t="s">
        <v>78</v>
      </c>
      <c r="M2" s="10" t="s">
        <v>79</v>
      </c>
      <c r="N2" s="9"/>
      <c r="O2" s="10">
        <v>1</v>
      </c>
      <c r="P2" s="10">
        <v>1</v>
      </c>
      <c r="Q2" s="10" t="s">
        <v>80</v>
      </c>
      <c r="R2" s="13" t="s">
        <v>81</v>
      </c>
      <c r="S2" s="13" t="s">
        <v>82</v>
      </c>
    </row>
    <row r="3" ht="42" customHeight="1" spans="1:19" s="9" customFormat="1" x14ac:dyDescent="0.25">
      <c r="A3" s="10" t="s">
        <v>83</v>
      </c>
      <c r="B3" s="10" t="s">
        <v>74</v>
      </c>
      <c r="C3" s="11">
        <v>46212</v>
      </c>
      <c r="D3" s="10" t="s">
        <v>75</v>
      </c>
      <c r="E3" s="12">
        <v>100</v>
      </c>
      <c r="F3" s="11">
        <v>46212</v>
      </c>
      <c r="G3" s="10" t="s">
        <v>75</v>
      </c>
      <c r="H3" s="12">
        <v>100</v>
      </c>
      <c r="I3" s="10" t="s">
        <v>76</v>
      </c>
      <c r="J3" s="10">
        <v>0</v>
      </c>
      <c r="K3" s="10" t="s">
        <v>77</v>
      </c>
      <c r="L3" s="10" t="s">
        <v>84</v>
      </c>
      <c r="M3" s="10" t="s">
        <v>79</v>
      </c>
      <c r="N3" s="9"/>
      <c r="O3" s="10">
        <v>1</v>
      </c>
      <c r="P3" s="10">
        <v>1</v>
      </c>
      <c r="Q3" s="10" t="s">
        <v>80</v>
      </c>
      <c r="R3" s="13" t="s">
        <v>85</v>
      </c>
      <c r="S3" s="13" t="s">
        <v>86</v>
      </c>
    </row>
  </sheetData>
  <autoFilter ref="A1:S3"/>
  <hyperlinks>
    <hyperlink ref="R2" r:id="rId1" location="#'Parsed Supplier Source'!A3"/>
    <hyperlink ref="S2" r:id="rId2" location="#'Parsed Ledger Source'!A4"/>
    <hyperlink ref="R3" r:id="rId3" location="#'Parsed Supplier Source'!A4"/>
    <hyperlink ref="S3" r:id="rId4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54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65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66</v>
      </c>
      <c r="N1" s="2" t="s">
        <v>68</v>
      </c>
      <c r="O1" s="2" t="s">
        <v>69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54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54</v>
      </c>
      <c r="B1" s="2" t="s">
        <v>87</v>
      </c>
      <c r="C1" s="8" t="s">
        <v>58</v>
      </c>
      <c r="D1" s="8" t="s">
        <v>61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43</v>
      </c>
      <c r="E3" s="7">
        <f>0</f>
        <v>0</v>
      </c>
    </row>
    <row r="4" ht="32" customHeight="1" spans="4:5" x14ac:dyDescent="0.25">
      <c r="D4" s="14" t="s">
        <v>23</v>
      </c>
      <c r="E4" s="7"/>
    </row>
    <row r="5" ht="32" customHeight="1" spans="4:5" x14ac:dyDescent="0.25">
      <c r="D5" s="14" t="s">
        <v>44</v>
      </c>
      <c r="E5" s="7"/>
    </row>
    <row r="6" ht="32" customHeight="1" spans="4:5" x14ac:dyDescent="0.25">
      <c r="D6" s="14" t="s">
        <v>24</v>
      </c>
      <c r="E6" s="7"/>
    </row>
    <row r="7" ht="32" customHeight="1" spans="4:5" x14ac:dyDescent="0.25">
      <c r="D7" s="14" t="s">
        <v>45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  <c r="B2" s="3" t="s">
        <v>113</v>
      </c>
    </row>
    <row r="3" ht="42" customHeight="1" spans="1:2" x14ac:dyDescent="0.25">
      <c r="A3" s="3" t="s">
        <v>114</v>
      </c>
    </row>
    <row r="4" ht="42" customHeight="1" spans="1:2" x14ac:dyDescent="0.25">
      <c r="A4" s="3" t="s">
        <v>115</v>
      </c>
      <c r="B4" s="3" t="s">
        <v>116</v>
      </c>
    </row>
    <row r="5" ht="42" customHeight="1" spans="1:2" x14ac:dyDescent="0.25">
      <c r="A5" s="3" t="s">
        <v>117</v>
      </c>
      <c r="B5" s="3" t="s">
        <v>118</v>
      </c>
    </row>
    <row r="6" ht="42" customHeight="1" spans="1:2" x14ac:dyDescent="0.25">
      <c r="A6" s="3" t="s">
        <v>119</v>
      </c>
      <c r="B6" s="3" t="s">
        <v>120</v>
      </c>
    </row>
    <row r="7" ht="42" customHeight="1" spans="1:2" x14ac:dyDescent="0.25">
      <c r="A7" s="3" t="s">
        <v>121</v>
      </c>
      <c r="B7" s="3" t="s">
        <v>122</v>
      </c>
    </row>
    <row r="8" ht="42" customHeight="1" spans="1:2" x14ac:dyDescent="0.25">
      <c r="A8" s="3" t="s">
        <v>2</v>
      </c>
      <c r="B8" s="3" t="s">
        <v>123</v>
      </c>
    </row>
    <row r="9" ht="42" customHeight="1" spans="1:2" x14ac:dyDescent="0.25">
      <c r="A9" s="3" t="s">
        <v>124</v>
      </c>
      <c r="B9" s="16" t="s">
        <v>125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126</v>
      </c>
      <c r="B1" s="17" t="s">
        <v>127</v>
      </c>
      <c r="C1" s="17" t="s">
        <v>128</v>
      </c>
    </row>
    <row r="2" spans="1:3" s="3" customFormat="1" x14ac:dyDescent="0.25">
      <c r="A2" s="3" t="s">
        <v>28</v>
      </c>
      <c r="B2" s="3" t="s">
        <v>129</v>
      </c>
      <c r="C2" s="3" t="s">
        <v>130</v>
      </c>
    </row>
    <row r="3" spans="1:3" s="3" customFormat="1" x14ac:dyDescent="0.25">
      <c r="A3" s="3" t="s">
        <v>34</v>
      </c>
      <c r="B3" s="3" t="s">
        <v>131</v>
      </c>
      <c r="C3" s="3" t="s">
        <v>130</v>
      </c>
    </row>
    <row r="4" spans="1:3" s="3" customFormat="1" x14ac:dyDescent="0.25">
      <c r="A4" s="3" t="s">
        <v>28</v>
      </c>
      <c r="B4" s="3" t="s">
        <v>132</v>
      </c>
      <c r="C4" s="3" t="s">
        <v>130</v>
      </c>
    </row>
    <row r="5" spans="1:3" s="3" customFormat="1" x14ac:dyDescent="0.25">
      <c r="A5" s="3" t="s">
        <v>34</v>
      </c>
      <c r="B5" s="3" t="s">
        <v>133</v>
      </c>
      <c r="C5" s="3" t="s">
        <v>130</v>
      </c>
    </row>
    <row r="6" spans="1:3" s="3" customFormat="1" x14ac:dyDescent="0.25">
      <c r="A6" s="3" t="s">
        <v>134</v>
      </c>
      <c r="B6" s="3" t="s">
        <v>78</v>
      </c>
      <c r="C6" s="3" t="s">
        <v>135</v>
      </c>
    </row>
    <row r="7" spans="1:3" s="3" customFormat="1" x14ac:dyDescent="0.25">
      <c r="A7" s="3" t="s">
        <v>134</v>
      </c>
      <c r="B7" s="3" t="s">
        <v>84</v>
      </c>
      <c r="C7" s="3" t="s">
        <v>136</v>
      </c>
    </row>
  </sheetData>
  <autoFilter ref="A1:C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3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40" customWidth="1"/>
  </cols>
  <sheetData>
    <row r="1" ht="28" customHeight="1" spans="1:23" s="17" customFormat="1" x14ac:dyDescent="0.25">
      <c r="A1" s="17" t="s">
        <v>54</v>
      </c>
      <c r="B1" s="17" t="s">
        <v>87</v>
      </c>
      <c r="C1" s="17" t="s">
        <v>66</v>
      </c>
      <c r="D1" s="17" t="s">
        <v>64</v>
      </c>
      <c r="E1" s="17" t="s">
        <v>65</v>
      </c>
      <c r="F1" s="17" t="s">
        <v>97</v>
      </c>
      <c r="G1" s="17" t="s">
        <v>137</v>
      </c>
      <c r="H1" s="17" t="s">
        <v>138</v>
      </c>
      <c r="I1" s="17" t="s">
        <v>139</v>
      </c>
      <c r="J1" s="17" t="s">
        <v>140</v>
      </c>
      <c r="K1" s="17" t="s">
        <v>98</v>
      </c>
      <c r="L1" s="17" t="s">
        <v>141</v>
      </c>
      <c r="M1" s="17" t="s">
        <v>142</v>
      </c>
      <c r="N1" s="17" t="s">
        <v>143</v>
      </c>
      <c r="O1" s="17" t="s">
        <v>144</v>
      </c>
      <c r="P1" s="17" t="s">
        <v>145</v>
      </c>
      <c r="Q1" s="17" t="s">
        <v>146</v>
      </c>
      <c r="R1" s="17" t="s">
        <v>6</v>
      </c>
      <c r="S1" s="18" t="s">
        <v>103</v>
      </c>
      <c r="T1" s="17" t="s">
        <v>105</v>
      </c>
      <c r="U1" s="17" t="s">
        <v>147</v>
      </c>
      <c r="V1" s="17" t="s">
        <v>148</v>
      </c>
      <c r="W1" s="17" t="s">
        <v>149</v>
      </c>
    </row>
    <row r="2" spans="1:23" s="3" customFormat="1" x14ac:dyDescent="0.25">
      <c r="A2" s="3" t="s">
        <v>73</v>
      </c>
      <c r="B2" s="3" t="s">
        <v>134</v>
      </c>
      <c r="C2" s="3" t="s">
        <v>79</v>
      </c>
      <c r="D2" s="3" t="s">
        <v>77</v>
      </c>
      <c r="E2" s="3" t="s">
        <v>78</v>
      </c>
      <c r="F2" s="3" t="s">
        <v>150</v>
      </c>
      <c r="G2" s="3" t="s">
        <v>151</v>
      </c>
      <c r="H2" s="3" t="s">
        <v>14</v>
      </c>
      <c r="I2" s="3">
        <v>2</v>
      </c>
      <c r="J2" s="3" t="s">
        <v>130</v>
      </c>
      <c r="K2" s="4">
        <v>46212</v>
      </c>
      <c r="L2" s="3" t="s">
        <v>75</v>
      </c>
      <c r="M2" s="3" t="s">
        <v>75</v>
      </c>
      <c r="N2" s="3" t="s">
        <v>130</v>
      </c>
      <c r="O2" s="3" t="s">
        <v>130</v>
      </c>
      <c r="P2" s="3" t="s">
        <v>130</v>
      </c>
      <c r="Q2" s="3" t="s">
        <v>130</v>
      </c>
      <c r="R2" s="3" t="s">
        <v>7</v>
      </c>
      <c r="S2" s="19">
        <v>100</v>
      </c>
      <c r="T2" s="3" t="s">
        <v>81</v>
      </c>
      <c r="U2" s="3" t="s">
        <v>130</v>
      </c>
      <c r="V2" s="3" t="s">
        <v>130</v>
      </c>
      <c r="W2" s="3" t="s">
        <v>152</v>
      </c>
    </row>
    <row r="3" spans="1:23" s="3" customFormat="1" x14ac:dyDescent="0.25">
      <c r="A3" s="3" t="s">
        <v>73</v>
      </c>
      <c r="B3" s="3" t="s">
        <v>134</v>
      </c>
      <c r="C3" s="3" t="s">
        <v>79</v>
      </c>
      <c r="D3" s="3" t="s">
        <v>77</v>
      </c>
      <c r="E3" s="3" t="s">
        <v>78</v>
      </c>
      <c r="F3" s="3" t="s">
        <v>153</v>
      </c>
      <c r="G3" s="3" t="s">
        <v>154</v>
      </c>
      <c r="H3" s="3" t="s">
        <v>14</v>
      </c>
      <c r="I3" s="3">
        <v>3</v>
      </c>
      <c r="J3" s="3" t="s">
        <v>130</v>
      </c>
      <c r="K3" s="4">
        <v>46212</v>
      </c>
      <c r="L3" s="3" t="s">
        <v>75</v>
      </c>
      <c r="M3" s="3" t="s">
        <v>75</v>
      </c>
      <c r="N3" s="3" t="s">
        <v>130</v>
      </c>
      <c r="O3" s="3" t="s">
        <v>130</v>
      </c>
      <c r="P3" s="3" t="s">
        <v>130</v>
      </c>
      <c r="Q3" s="3" t="s">
        <v>130</v>
      </c>
      <c r="R3" s="3" t="s">
        <v>7</v>
      </c>
      <c r="S3" s="19">
        <v>100</v>
      </c>
      <c r="T3" s="3" t="s">
        <v>82</v>
      </c>
      <c r="U3" s="3" t="s">
        <v>130</v>
      </c>
      <c r="V3" s="3" t="s">
        <v>130</v>
      </c>
      <c r="W3" s="3" t="s">
        <v>152</v>
      </c>
    </row>
    <row r="4" spans="1:23" s="3" customFormat="1" x14ac:dyDescent="0.25">
      <c r="A4" s="3" t="s">
        <v>83</v>
      </c>
      <c r="B4" s="3" t="s">
        <v>134</v>
      </c>
      <c r="C4" s="3" t="s">
        <v>79</v>
      </c>
      <c r="D4" s="3" t="s">
        <v>77</v>
      </c>
      <c r="E4" s="3" t="s">
        <v>84</v>
      </c>
      <c r="F4" s="3" t="s">
        <v>150</v>
      </c>
      <c r="G4" s="3" t="s">
        <v>155</v>
      </c>
      <c r="H4" s="3" t="s">
        <v>14</v>
      </c>
      <c r="I4" s="3">
        <v>3</v>
      </c>
      <c r="J4" s="3" t="s">
        <v>130</v>
      </c>
      <c r="K4" s="4">
        <v>46212</v>
      </c>
      <c r="L4" s="3" t="s">
        <v>75</v>
      </c>
      <c r="M4" s="3" t="s">
        <v>75</v>
      </c>
      <c r="N4" s="3" t="s">
        <v>130</v>
      </c>
      <c r="O4" s="3" t="s">
        <v>130</v>
      </c>
      <c r="P4" s="3" t="s">
        <v>130</v>
      </c>
      <c r="Q4" s="3" t="s">
        <v>130</v>
      </c>
      <c r="R4" s="3" t="s">
        <v>7</v>
      </c>
      <c r="S4" s="19">
        <v>100</v>
      </c>
      <c r="T4" s="3" t="s">
        <v>85</v>
      </c>
      <c r="U4" s="3" t="s">
        <v>130</v>
      </c>
      <c r="V4" s="3" t="s">
        <v>130</v>
      </c>
      <c r="W4" s="3" t="s">
        <v>156</v>
      </c>
    </row>
    <row r="5" spans="1:23" s="3" customFormat="1" x14ac:dyDescent="0.25">
      <c r="A5" s="3" t="s">
        <v>83</v>
      </c>
      <c r="B5" s="3" t="s">
        <v>134</v>
      </c>
      <c r="C5" s="3" t="s">
        <v>79</v>
      </c>
      <c r="D5" s="3" t="s">
        <v>77</v>
      </c>
      <c r="E5" s="3" t="s">
        <v>84</v>
      </c>
      <c r="F5" s="3" t="s">
        <v>153</v>
      </c>
      <c r="G5" s="3" t="s">
        <v>157</v>
      </c>
      <c r="H5" s="3" t="s">
        <v>14</v>
      </c>
      <c r="I5" s="3">
        <v>2</v>
      </c>
      <c r="J5" s="3" t="s">
        <v>130</v>
      </c>
      <c r="K5" s="4">
        <v>46212</v>
      </c>
      <c r="L5" s="3" t="s">
        <v>75</v>
      </c>
      <c r="M5" s="3" t="s">
        <v>75</v>
      </c>
      <c r="N5" s="3" t="s">
        <v>130</v>
      </c>
      <c r="O5" s="3" t="s">
        <v>130</v>
      </c>
      <c r="P5" s="3" t="s">
        <v>130</v>
      </c>
      <c r="Q5" s="3" t="s">
        <v>130</v>
      </c>
      <c r="R5" s="3" t="s">
        <v>7</v>
      </c>
      <c r="S5" s="19">
        <v>100</v>
      </c>
      <c r="T5" s="3" t="s">
        <v>86</v>
      </c>
      <c r="U5" s="3" t="s">
        <v>130</v>
      </c>
      <c r="V5" s="3" t="s">
        <v>130</v>
      </c>
      <c r="W5" s="3" t="s">
        <v>156</v>
      </c>
    </row>
  </sheetData>
  <autoFilter ref="A1:W5"/>
  <hyperlinks>
    <hyperlink ref="T2" r:id="rId1" location="#'Parsed Supplier Source'!A3"/>
    <hyperlink ref="T3" r:id="rId2" location="#'Parsed Ledger Source'!A4"/>
    <hyperlink ref="T4" r:id="rId3" location="#'Parsed Supplier Source'!A4"/>
    <hyperlink ref="T5" r:id="rId4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158</v>
      </c>
      <c r="B1" s="17" t="s">
        <v>159</v>
      </c>
      <c r="C1" s="17" t="s">
        <v>160</v>
      </c>
      <c r="D1" s="17" t="s">
        <v>96</v>
      </c>
    </row>
    <row r="2" spans="1:4" s="3" customFormat="1" x14ac:dyDescent="0.25">
      <c r="A2" s="4">
        <v>46294.39080936342</v>
      </c>
      <c r="B2" s="3" t="s">
        <v>161</v>
      </c>
      <c r="C2" s="3" t="s">
        <v>130</v>
      </c>
      <c r="D2" s="3" t="s">
        <v>162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163</v>
      </c>
      <c r="B1" s="17" t="s">
        <v>164</v>
      </c>
      <c r="C1" s="17" t="s">
        <v>165</v>
      </c>
      <c r="D1" s="17" t="s">
        <v>166</v>
      </c>
      <c r="E1" s="17" t="s">
        <v>167</v>
      </c>
      <c r="F1" s="17" t="s">
        <v>168</v>
      </c>
      <c r="G1" s="17" t="s">
        <v>169</v>
      </c>
      <c r="H1" s="18" t="s">
        <v>170</v>
      </c>
      <c r="I1" s="17" t="s">
        <v>171</v>
      </c>
      <c r="J1" s="17" t="s">
        <v>172</v>
      </c>
    </row>
    <row r="2" spans="1:10" s="3" customFormat="1" x14ac:dyDescent="0.25">
      <c r="A2" s="3" t="s">
        <v>151</v>
      </c>
      <c r="B2" s="3" t="s">
        <v>14</v>
      </c>
      <c r="C2" s="3">
        <v>2</v>
      </c>
      <c r="D2" s="4">
        <v>46212</v>
      </c>
      <c r="E2" s="3" t="s">
        <v>75</v>
      </c>
      <c r="F2" s="3" t="s">
        <v>173</v>
      </c>
      <c r="G2" s="3" t="s">
        <v>174</v>
      </c>
      <c r="H2" s="19">
        <v>100</v>
      </c>
      <c r="I2" s="3" t="s">
        <v>175</v>
      </c>
      <c r="J2" s="3" t="s">
        <v>130</v>
      </c>
    </row>
    <row r="3" spans="1:10" s="3" customFormat="1" x14ac:dyDescent="0.25">
      <c r="A3" s="3" t="s">
        <v>155</v>
      </c>
      <c r="B3" s="3" t="s">
        <v>14</v>
      </c>
      <c r="C3" s="3">
        <v>3</v>
      </c>
      <c r="D3" s="4">
        <v>46212</v>
      </c>
      <c r="E3" s="3" t="s">
        <v>75</v>
      </c>
      <c r="F3" s="3" t="s">
        <v>173</v>
      </c>
      <c r="G3" s="3" t="s">
        <v>174</v>
      </c>
      <c r="H3" s="19">
        <v>100</v>
      </c>
      <c r="I3" s="3" t="s">
        <v>175</v>
      </c>
      <c r="J3" s="3" t="s">
        <v>130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163</v>
      </c>
      <c r="B1" s="17" t="s">
        <v>164</v>
      </c>
      <c r="C1" s="17" t="s">
        <v>165</v>
      </c>
      <c r="D1" s="17" t="s">
        <v>166</v>
      </c>
      <c r="E1" s="17" t="s">
        <v>167</v>
      </c>
      <c r="F1" s="17" t="s">
        <v>168</v>
      </c>
      <c r="G1" s="17" t="s">
        <v>169</v>
      </c>
      <c r="H1" s="18" t="s">
        <v>170</v>
      </c>
      <c r="I1" s="17" t="s">
        <v>171</v>
      </c>
      <c r="J1" s="17" t="s">
        <v>172</v>
      </c>
    </row>
    <row r="2" spans="1:10" s="3" customFormat="1" x14ac:dyDescent="0.25">
      <c r="A2" s="3" t="s">
        <v>157</v>
      </c>
      <c r="B2" s="3" t="s">
        <v>14</v>
      </c>
      <c r="C2" s="3">
        <v>2</v>
      </c>
      <c r="D2" s="4">
        <v>46212</v>
      </c>
      <c r="E2" s="3" t="s">
        <v>75</v>
      </c>
      <c r="F2" s="3" t="s">
        <v>173</v>
      </c>
      <c r="G2" s="3" t="s">
        <v>176</v>
      </c>
      <c r="H2" s="19">
        <v>100</v>
      </c>
      <c r="I2" s="3" t="s">
        <v>175</v>
      </c>
      <c r="J2" s="3" t="s">
        <v>130</v>
      </c>
    </row>
    <row r="3" spans="1:10" s="3" customFormat="1" x14ac:dyDescent="0.25">
      <c r="A3" s="3" t="s">
        <v>154</v>
      </c>
      <c r="B3" s="3" t="s">
        <v>14</v>
      </c>
      <c r="C3" s="3">
        <v>3</v>
      </c>
      <c r="D3" s="4">
        <v>46212</v>
      </c>
      <c r="E3" s="3" t="s">
        <v>75</v>
      </c>
      <c r="F3" s="3" t="s">
        <v>173</v>
      </c>
      <c r="G3" s="3" t="s">
        <v>176</v>
      </c>
      <c r="H3" s="19">
        <v>100</v>
      </c>
      <c r="I3" s="3" t="s">
        <v>175</v>
      </c>
      <c r="J3" s="3" t="s">
        <v>130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177</v>
      </c>
      <c r="B1" s="17" t="s">
        <v>165</v>
      </c>
      <c r="C1" s="17" t="s">
        <v>178</v>
      </c>
      <c r="D1" s="17" t="s">
        <v>179</v>
      </c>
    </row>
    <row r="2" spans="1:4" s="3" customFormat="1" x14ac:dyDescent="0.25">
      <c r="A2" s="3" t="s">
        <v>180</v>
      </c>
      <c r="B2" s="3">
        <v>1</v>
      </c>
      <c r="C2" s="3" t="s">
        <v>181</v>
      </c>
      <c r="D2" s="3" t="s">
        <v>182</v>
      </c>
    </row>
    <row r="3" spans="1:4" s="3" customFormat="1" x14ac:dyDescent="0.25">
      <c r="A3" s="3" t="s">
        <v>183</v>
      </c>
      <c r="B3" s="3">
        <v>1</v>
      </c>
      <c r="C3" s="3" t="s">
        <v>181</v>
      </c>
      <c r="D3" s="3" t="s">
        <v>182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184</v>
      </c>
      <c r="B1" s="17" t="s">
        <v>185</v>
      </c>
    </row>
    <row r="2" spans="1:2" s="3" customFormat="1" x14ac:dyDescent="0.25">
      <c r="A2" s="3" t="s">
        <v>186</v>
      </c>
      <c r="B2" s="3" t="s">
        <v>187</v>
      </c>
    </row>
    <row r="3" spans="1:2" s="3" customFormat="1" x14ac:dyDescent="0.25">
      <c r="A3" s="3" t="s">
        <v>188</v>
      </c>
      <c r="B3" s="3" t="s">
        <v>189</v>
      </c>
    </row>
    <row r="4" spans="1:2" s="3" customFormat="1" x14ac:dyDescent="0.25">
      <c r="A4" s="3" t="s">
        <v>190</v>
      </c>
      <c r="B4" s="3" t="s">
        <v>189</v>
      </c>
    </row>
    <row r="5" spans="1:2" s="3" customFormat="1" x14ac:dyDescent="0.25">
      <c r="A5" s="3" t="s">
        <v>191</v>
      </c>
      <c r="B5" s="3" t="s">
        <v>192</v>
      </c>
    </row>
    <row r="6" spans="1:2" s="3" customFormat="1" x14ac:dyDescent="0.25">
      <c r="A6" s="3" t="s">
        <v>193</v>
      </c>
      <c r="B6" s="3" t="s">
        <v>192</v>
      </c>
    </row>
    <row r="7" spans="1:2" s="3" customFormat="1" x14ac:dyDescent="0.25">
      <c r="A7" s="3" t="s">
        <v>194</v>
      </c>
      <c r="B7" s="3" t="s">
        <v>195</v>
      </c>
    </row>
    <row r="8" spans="1:2" s="3" customFormat="1" x14ac:dyDescent="0.25">
      <c r="A8" s="3" t="s">
        <v>196</v>
      </c>
      <c r="B8" s="3" t="s">
        <v>195</v>
      </c>
    </row>
    <row r="9" spans="1:2" s="3" customFormat="1" x14ac:dyDescent="0.25">
      <c r="A9" s="3" t="s">
        <v>197</v>
      </c>
      <c r="B9" s="3" t="s">
        <v>198</v>
      </c>
    </row>
    <row r="10" spans="1:2" s="3" customFormat="1" x14ac:dyDescent="0.25">
      <c r="A10" s="3" t="s">
        <v>199</v>
      </c>
      <c r="B10" s="3" t="s">
        <v>198</v>
      </c>
    </row>
    <row r="11" spans="1:2" s="3" customFormat="1" x14ac:dyDescent="0.25">
      <c r="A11" s="3" t="s">
        <v>200</v>
      </c>
      <c r="B11" s="3" t="s">
        <v>201</v>
      </c>
    </row>
    <row r="12" spans="1:2" s="3" customFormat="1" x14ac:dyDescent="0.25">
      <c r="A12" s="3" t="s">
        <v>202</v>
      </c>
      <c r="B12" s="3" t="s">
        <v>203</v>
      </c>
    </row>
    <row r="13" spans="1:2" s="3" customFormat="1" x14ac:dyDescent="0.25">
      <c r="A13" s="3" t="s">
        <v>204</v>
      </c>
      <c r="B13" s="3" t="s">
        <v>205</v>
      </c>
    </row>
    <row r="14" spans="1:2" s="3" customFormat="1" x14ac:dyDescent="0.25">
      <c r="A14" s="3" t="s">
        <v>206</v>
      </c>
      <c r="B14" s="3" t="s">
        <v>130</v>
      </c>
    </row>
    <row r="15" spans="1:2" s="3" customFormat="1" x14ac:dyDescent="0.25">
      <c r="A15" s="3" t="s">
        <v>207</v>
      </c>
      <c r="B15" s="3" t="s">
        <v>130</v>
      </c>
    </row>
    <row r="16" spans="1:2" s="3" customFormat="1" x14ac:dyDescent="0.25">
      <c r="A16" s="3" t="s">
        <v>208</v>
      </c>
      <c r="B16" s="3" t="s">
        <v>209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165</v>
      </c>
      <c r="B1" s="17" t="s">
        <v>210</v>
      </c>
      <c r="C1" s="17" t="s">
        <v>211</v>
      </c>
      <c r="D1" s="17" t="s">
        <v>212</v>
      </c>
      <c r="E1" s="17" t="s">
        <v>213</v>
      </c>
      <c r="F1" s="17" t="s">
        <v>214</v>
      </c>
      <c r="G1" s="17" t="s">
        <v>215</v>
      </c>
    </row>
    <row r="2" spans="1:7" s="3" customFormat="1" x14ac:dyDescent="0.25">
      <c r="A2" s="3">
        <v>1</v>
      </c>
      <c r="B2" s="3" t="s">
        <v>98</v>
      </c>
      <c r="C2" s="3" t="s">
        <v>216</v>
      </c>
      <c r="D2" s="3" t="s">
        <v>100</v>
      </c>
      <c r="E2" s="3" t="s">
        <v>217</v>
      </c>
      <c r="F2" s="3" t="s">
        <v>102</v>
      </c>
      <c r="G2" s="3" t="s">
        <v>103</v>
      </c>
    </row>
    <row r="3" spans="1:7" s="3" customFormat="1" x14ac:dyDescent="0.25">
      <c r="A3" s="3">
        <v>2</v>
      </c>
      <c r="B3" s="3" t="s">
        <v>218</v>
      </c>
      <c r="C3" s="3" t="s">
        <v>75</v>
      </c>
      <c r="D3" s="3" t="s">
        <v>219</v>
      </c>
      <c r="E3" s="3" t="s">
        <v>220</v>
      </c>
      <c r="F3" s="3" t="s">
        <v>174</v>
      </c>
      <c r="G3" s="3" t="s">
        <v>175</v>
      </c>
    </row>
    <row r="4" spans="1:7" s="3" customFormat="1" x14ac:dyDescent="0.25">
      <c r="A4" s="3">
        <v>3</v>
      </c>
      <c r="B4" s="3" t="s">
        <v>218</v>
      </c>
      <c r="C4" s="3" t="s">
        <v>75</v>
      </c>
      <c r="D4" s="3" t="s">
        <v>221</v>
      </c>
      <c r="E4" s="3" t="s">
        <v>220</v>
      </c>
      <c r="F4" s="3" t="s">
        <v>174</v>
      </c>
      <c r="G4" s="3" t="s">
        <v>175</v>
      </c>
    </row>
  </sheetData>
  <autoFilter ref="A1:G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165</v>
      </c>
      <c r="B1" s="17" t="s">
        <v>210</v>
      </c>
      <c r="C1" s="17" t="s">
        <v>211</v>
      </c>
      <c r="D1" s="17" t="s">
        <v>212</v>
      </c>
      <c r="E1" s="17" t="s">
        <v>213</v>
      </c>
      <c r="F1" s="17" t="s">
        <v>214</v>
      </c>
      <c r="G1" s="17" t="s">
        <v>215</v>
      </c>
    </row>
    <row r="2" spans="1:7" s="3" customFormat="1" x14ac:dyDescent="0.25">
      <c r="A2" s="3">
        <v>1</v>
      </c>
      <c r="B2" s="3" t="s">
        <v>98</v>
      </c>
      <c r="C2" s="3" t="s">
        <v>216</v>
      </c>
      <c r="D2" s="3" t="s">
        <v>100</v>
      </c>
      <c r="E2" s="3" t="s">
        <v>217</v>
      </c>
      <c r="F2" s="3" t="s">
        <v>102</v>
      </c>
      <c r="G2" s="3" t="s">
        <v>103</v>
      </c>
    </row>
    <row r="3" spans="1:7" s="3" customFormat="1" x14ac:dyDescent="0.25">
      <c r="A3" s="3">
        <v>2</v>
      </c>
      <c r="B3" s="3" t="s">
        <v>218</v>
      </c>
      <c r="C3" s="3" t="s">
        <v>75</v>
      </c>
      <c r="D3" s="3" t="s">
        <v>221</v>
      </c>
      <c r="E3" s="3" t="s">
        <v>220</v>
      </c>
      <c r="F3" s="3" t="s">
        <v>176</v>
      </c>
      <c r="G3" s="3" t="s">
        <v>175</v>
      </c>
    </row>
    <row r="4" spans="1:7" s="3" customFormat="1" x14ac:dyDescent="0.25">
      <c r="A4" s="3">
        <v>3</v>
      </c>
      <c r="B4" s="3" t="s">
        <v>218</v>
      </c>
      <c r="C4" s="3" t="s">
        <v>75</v>
      </c>
      <c r="D4" s="3" t="s">
        <v>219</v>
      </c>
      <c r="E4" s="3" t="s">
        <v>220</v>
      </c>
      <c r="F4" s="3" t="s">
        <v>176</v>
      </c>
      <c r="G4" s="3" t="s">
        <v>175</v>
      </c>
    </row>
  </sheetData>
  <autoFilter ref="A1:G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177</v>
      </c>
      <c r="B1" s="17" t="s">
        <v>222</v>
      </c>
      <c r="C1" s="17" t="s">
        <v>223</v>
      </c>
      <c r="D1" s="17" t="s">
        <v>224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225</v>
      </c>
      <c r="B1" s="17" t="s">
        <v>226</v>
      </c>
    </row>
    <row r="2" spans="1:2" s="3" customFormat="1" x14ac:dyDescent="0.25">
      <c r="A2" s="3" t="s">
        <v>227</v>
      </c>
      <c r="B2" s="3" t="s">
        <v>228</v>
      </c>
    </row>
    <row r="3" spans="1:2" s="3" customFormat="1" x14ac:dyDescent="0.25">
      <c r="A3" s="3" t="s">
        <v>229</v>
      </c>
      <c r="B3" s="3" t="s">
        <v>230</v>
      </c>
    </row>
    <row r="4" spans="1:2" s="3" customFormat="1" x14ac:dyDescent="0.25">
      <c r="A4" s="3" t="s">
        <v>231</v>
      </c>
      <c r="B4" s="3" t="s">
        <v>232</v>
      </c>
    </row>
    <row r="5" spans="1:2" s="3" customFormat="1" x14ac:dyDescent="0.25">
      <c r="A5" s="3" t="s">
        <v>233</v>
      </c>
      <c r="B5" s="4">
        <v>46294.39087634259</v>
      </c>
    </row>
    <row r="6" spans="1:2" s="3" customFormat="1" x14ac:dyDescent="0.25">
      <c r="A6" s="3" t="s">
        <v>234</v>
      </c>
      <c r="B6" s="3" t="s">
        <v>235</v>
      </c>
    </row>
    <row r="7" spans="1:2" s="3" customFormat="1" x14ac:dyDescent="0.25">
      <c r="A7" s="3" t="s">
        <v>236</v>
      </c>
      <c r="B7" s="3" t="s">
        <v>237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2026-09-29T09:22:51Z</dcterms:created>
  <dcterms:modified xsi:type="dcterms:W3CDTF">2026-09-29T09:22:51Z</dcterms:modified>
</cp:coreProperties>
</file>