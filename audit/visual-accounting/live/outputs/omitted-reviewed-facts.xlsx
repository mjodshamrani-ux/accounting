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Match Evidence" state="hidden" r:id="rId14"/>
    <sheet sheetId="12" name="Review History" state="hidden" r:id="rId15"/>
    <sheet sheetId="13" name="Supplier transactions" state="hidden" r:id="rId16"/>
    <sheet sheetId="14" name="Ledger transactions" state="hidden" r:id="rId17"/>
    <sheet sheetId="15" name="Excluded Rows" state="hidden" r:id="rId18"/>
    <sheet sheetId="16" name="Run Settings" state="hidden" r:id="rId19"/>
    <sheet sheetId="17" name="Parsed Supplier Source" state="hidden" r:id="rId20"/>
    <sheet sheetId="18" name="Parsed Ledger Source" state="hidden" r:id="rId21"/>
    <sheet sheetId="19" name="PDF Row Origins" state="hidden" r:id="rId22"/>
    <sheet sheetId="20" name="Export Metadata" state="hidden" r:id="rId23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<sst xmlns="http://schemas.openxmlformats.org/spreadsheetml/2006/main" count="634" uniqueCount="360">
  <si>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</si>
  <si>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</si>
  <si>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</si>
  <si>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</si>
  <si>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</si>
  <si>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</si>
  <si>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</si>
  <si>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</si>
  <si>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</si>
  <si>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</si>
  <si>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</si>
  <si>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</si>
  <si>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</si>
  <si>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</si>
  <si>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</si>
  <si>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</si>
  <si>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</si>
  <si>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</si>
  <si>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</si>
  <si>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</si>
  <si>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</si>
  <si>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</si>
  <si>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</si>
  <si>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</si>
  <si>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</si>
  <si>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</si>
  <si>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</si>
  <si>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</si>
  <si>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</si>
  <si>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</si>
  <si>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</si>
  <si>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</si>
  <si>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</si>
  <si>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</si>
  <si>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</si>
  <si>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</si>
  <si>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</si>
  <si>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</si>
  <si>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</si>
  <si>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</si>
  <si>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</si>
  <si>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</si>
  <si>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</si>
  <si>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</si>
  <si>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</si>
  <si>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</si>
  <si>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</si>
  <si>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</si>
  <si>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</si>
  <si>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</si>
  <si>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</si>
  <si>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</si>
  <si>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</si>
  <si>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</si>
  <si>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</si>
  <si>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</si>
  <si>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</si>
  <si>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</si>
  <si>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</si>
  <si>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</si>
  <si>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</si>
  <si>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</si>
  <si>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</si>
  <si>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</si>
  <si>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</si>
  <si>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</si>
  <si>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</si>
  <si>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</si>
  <si>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</si>
  <si>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</si>
  <si>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</si>
  <si>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</si>
  <si>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</si>
  <si>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</si>
  <si>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</si>
  <si>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</si>
  <si>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</si>
  <si>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</si>
  <si>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</si>
  <si>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</si>
  <si>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</si>
  <si>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</si>
  <si>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</si>
  <si>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</si>
  <si>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</si>
  <si>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CASE-6293CF55</t>
  </si>
  <si>
    <t>AMBIGUOUS_CANDIDATE</t>
  </si>
  <si>
    <t>INV-001 · Reviewed image:2</t>
  </si>
  <si>
    <t>INV-001 · CSV:2</t>
  </si>
  <si>
    <t>لم تكتمل قراءة هوية المجموعة في المصدر؛ راجع الصفوف المستبعدة وملاحظات القراءة قبل اعتماد الربط.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</si>
  <si>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</si>
  <si>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</si>
  <si>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</si>
  <si>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</si>
  <si>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Reviewed image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</si>
  <si>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</si>
  <si>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</si>
  <si>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</si>
  <si>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</si>
  <si>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</si>
  <si>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</si>
  <si>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</si>
  <si>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</si>
  <si>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</si>
  <si>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</si>
  <si>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</si>
  <si>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CASE-C4DE63F2</t>
  </si>
  <si>
    <t>ledger</t>
  </si>
  <si>
    <t>Unknown</t>
  </si>
  <si>
    <t>INV-002</t>
  </si>
  <si>
    <t>مستند الدفتر INV-002 بمبلغ 80.00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</si>
  <si>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</si>
  <si>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</si>
  <si>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</si>
  <si>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</si>
  <si>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</si>
  <si>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</si>
  <si>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</si>
  <si>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CASE-C4DE63F2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</si>
  <si>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</si>
  <si>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</si>
  <si>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</si>
  <si>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</si>
  <si>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</si>
  <si>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</si>
  <si>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</si>
  <si>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</si>
  <si>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</si>
  <si>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</si>
  <si>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</si>
  <si>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</si>
  <si>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</si>
  <si>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</si>
  <si>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</si>
  <si>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</si>
  <si>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</si>
  <si>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</si>
  <si>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</si>
  <si>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</si>
  <si>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</si>
  <si>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</si>
  <si>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b0d7cb7a30b1936095d7aea64a210c80b63f69390ad045fdfd1a32fd01e7dd3d</t>
  </si>
  <si>
    <t>20faa7ba31972885baab149ffbf46a1b3c345ebeb3006c7c290b64ac3fa111cb</t>
  </si>
  <si>
    <t>adb616c121c8c8f9ae8e4c9051c3a8f46b100b286c63e569c3d33b761044a032</t>
  </si>
  <si>
    <t>human-reviewed-transactions</t>
  </si>
  <si>
    <t>{"side":"supplier","supplier":"Synthetic Supplier","entity":"Synthetic Entity","account":"","currency":"SAR","decimals":2,"periodStart":"2026-07-01","cutoff":"2026-07-31","multiplier":1,"numberFormat":"dot","dateFormat":"ymd"}</t>
  </si>
  <si>
    <t>{"fingerprint":"fffb7452ae11179d5758325a0d81d3ae7c7f62e7da4679432e840e99f5208349","checkedAt":"2026-10-04T09:00:00.000Z"}</t>
  </si>
  <si>
    <t>{"fingerprint":"d3d522e3e7672e7296bc1adf5a368d56fbe29399015c404ee9c8495e1706ba8b","checkedAt":"2026-10-04T09:00:00.000Z"}</t>
  </si>
  <si>
    <t>Part</t>
  </si>
  <si>
    <t>Original JSON text</t>
  </si>
  <si>
    <t>{"kind":"reviewed-visual-source","version":1,"basis":"human-reviewed-transactions","table":{"kind":"visual-table","version":1,"status":"table-evidence-only","image":{"kind":"visual-review","version":2,"status":"cell-evidence-only","source":{"name":"statement.png","sha256":"20faa7ba31972885baab149ffbf46a1b3c345ebeb3006c7c290b64ac3fa111cb","originalPng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</t>
  </si>
  <si>
    <t>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</t>
  </si>
  <si>
    <t>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</t>
  </si>
  <si>
    <t>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</t>
  </si>
  <si>
    <t>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</t>
  </si>
  <si>
    <t>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</t>
  </si>
  <si>
    <t>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</t>
  </si>
  <si>
    <t>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</t>
  </si>
  <si>
    <t>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</t>
  </si>
  <si>
    <t>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</t>
  </si>
  <si>
    <t>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</t>
  </si>
  <si>
    <t>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</t>
  </si>
  <si>
    <t>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</t>
  </si>
  <si>
    <t>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</t>
  </si>
  <si>
    <t>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</t>
  </si>
  <si>
    <t>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</t>
  </si>
  <si>
    <t>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</t>
  </si>
  <si>
    <t>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</t>
  </si>
  <si>
    <t>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</t>
  </si>
  <si>
    <t>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</t>
  </si>
  <si>
    <t>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</t>
  </si>
  <si>
    <t>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</t>
  </si>
  <si>
    <t>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</t>
  </si>
  <si>
    <t>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</t>
  </si>
  <si>
    <t>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</t>
  </si>
  <si>
    <t>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</t>
  </si>
  <si>
    <t>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</t>
  </si>
  <si>
    <t>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</t>
  </si>
  <si>
    <t>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</t>
  </si>
  <si>
    <t>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</t>
  </si>
  <si>
    <t>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</t>
  </si>
  <si>
    <t>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</t>
  </si>
  <si>
    <t>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</t>
  </si>
  <si>
    <t>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</t>
  </si>
  <si>
    <t>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</t>
  </si>
  <si>
    <t>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</t>
  </si>
  <si>
    <t>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</t>
  </si>
  <si>
    <t>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</t>
  </si>
  <si>
    <t>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},"draft":{"kind":"visual-draft","version":1,"status":"unverified","source":{"name":"statement.png","sha256":"20faa7ba31972885baab149ffbf46a1b3c345ebeb3006c7c290b64ac3fa111cb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1200,"height":760,"imageDataUrl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</t>
  </si>
  <si>
    <t>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</t>
  </si>
  <si>
    <t>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</t>
  </si>
  <si>
    <t>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</t>
  </si>
  <si>
    <t>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</t>
  </si>
  <si>
    <t>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</t>
  </si>
  <si>
    <t>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</t>
  </si>
  <si>
    <t>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</t>
  </si>
  <si>
    <t>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</t>
  </si>
  <si>
    <t>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</t>
  </si>
  <si>
    <t>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</t>
  </si>
  <si>
    <t>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</t>
  </si>
  <si>
    <t>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</t>
  </si>
  <si>
    <t>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</t>
  </si>
  <si>
    <t>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</t>
  </si>
  <si>
    <t>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</t>
  </si>
  <si>
    <t>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</t>
  </si>
  <si>
    <t>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</t>
  </si>
  <si>
    <t>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</t>
  </si>
  <si>
    <t>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</t>
  </si>
  <si>
    <t>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</t>
  </si>
  <si>
    <t>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</t>
  </si>
  <si>
    <t>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</t>
  </si>
  <si>
    <t>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</t>
  </si>
  <si>
    <t>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</t>
  </si>
  <si>
    <t>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</t>
  </si>
  <si>
    <t>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</t>
  </si>
  <si>
    <t>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</t>
  </si>
  <si>
    <t>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</t>
  </si>
  <si>
    <t>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</t>
  </si>
  <si>
    <t>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</t>
  </si>
  <si>
    <t>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</t>
  </si>
  <si>
    <t>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</t>
  </si>
  <si>
    <t>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</t>
  </si>
  <si>
    <t>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</t>
  </si>
  <si>
    <t>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</t>
  </si>
  <si>
    <t>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</t>
  </si>
  <si>
    <t>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</t>
  </si>
  <si>
    <t>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,"words":[{"id":"p1:w1:81,51,260,75","text":"SYNTHETIC","confidence":96,"bbox":{"x0":81,"y0":51,"x1":260,"y1":75}},{"id":"p1:w2:272,51,428,75","text":"SUPPLIER","confidence":96,"bbox":{"x0":272,"y0":51,"x1":428,"y1":75}},{"id":"p1:w3:439,51,626,75","text":"STATEMENT","confidence":96,"bbox":{"x0":439,"y0":51,"x1":626,"y1":75}},{"id":"p1:w4:81,110,140,125","text":"Known","confidence":96,"bbox":{"x0":81,"y0":110,"x1":140,"y1":125}},{"id":"p1:w5:147,110,261,129","text":"development","confidence":96,"bbox":{"x0":147,"y0":110,"x1":261,"y1":129}},{"id":"p1:w6:267,110,321,125","text":"fixture","confidence":93,"bbox":{"x0":267,"y0":110,"x1":321,"y1":125}},{"id":"p1:w7:327,110,332,125","text":"/","confidence":93,"bbox":{"x0":327,"y0":110,"x1":332,"y1":125}},{"id":"p1:w8:339,110,379,125","text":"SAR","confidence":91,"bbox":{"x0":339,"y0":110,"x1":379,"y1":125}},{"id":"p1:w9:385,110,390,125","text":"/","confidence":91,"bbox":{"x0":385,"y0":110,"x1":390,"y1":125}},{"id":"p1:w10:396,110,431,129","text":"July","confidence":96,"bbox":{"x0":396,"y0":110,"x1":431,"y1":129}},{"id":"p1:w11:437,110,481,125","text":"2026","confidence":96,"bbox":{"x0":437,"y0":110,"x1":481,"y1":125}},{"id":"p1:w12:93,180,184,195","text":"Reference","confidence":96,"bbox":{"x0":93,"y0"</t>
  </si>
  <si>
    <t>:180,"x1":184,"y1":195}},{"id":"p1:w13:363,176,403,205","text":"Date","confidence":95,"bbox":{"x0":363,"y0":176,"x1":403,"y1":205}},{"id":"p1:w14:633,176,725,205","text":"Movement","confidence":96,"bbox":{"x0":633,"y0":176,"x1":725,"y1":205}},{"id":"p1:w15:863,180,934,195","text":"Balance","confidence":96,"bbox":{"x0":863,"y0":180,"x1":934,"y1":195}},{"id":"p1:w16:94,270,188,290","text":"INV-001","confidence":90,"bbox":{"x0":94,"y0":270,"x1":188,"y1":290}},{"id":"p1:w17:363,270,500,290","text":"2026-07-01","confidence":95,"bbox":{"x0":363,"y0":270,"x1":500,"y1":290}},{"id":"p1:w18:633,270,719,289","text":"“You,","confidence":9,"bbox":{"x0":633,"y0":270,"x1":719,"y1":289}},{"id":"p1:w19:865,269,963,289","text":"16","confidence":65,"bbox":{"x0":865,"y0":269,"x1":963,"y1":289}},{"id":"p1:w20:94,390,192,410","text":"INV-002","confidence":89,"bbox":{"x0":94,"y0":390,"x1":192,"y1":410}},{"id":"p1:w21:363,390,504,410","text":"2026-07-02","confidence":96,"bbox":{"x0":363,"y0":390,"x1":504,"y1":410}},{"id":"p1:w22:634,390,763,416","text":"[damaged]","confidence":93,"bbox":{"x0":634,"y0":390,"x1":763,"y1":416}},{"id":"p1:w23:863,390,970,414","text":"9,800.00","confidence":96,"bbox":{"x0":863,"y0":390,"x1":970,"y1":414}},{"id":"p1:w24:93,509,184,536","text":"Closing","confidence":96,"bbox":{"x0":93,"y0":509,"x1":184,"y1":536}},{"id":"p1:w25:194,510,244,530","text":"total","confidence":96,"bbox":{"x0":194,"y0":510,"x1":244,"y1":530}},{"id":"p1:w26:633,510,716,530","text":"750.00","confidence":96,"bbox":{"x0":633,"y0":510,"x1":716,"y1":530}},{"id":"p1:w27:863,510,970,534","text":"9,999.00","confidence":96,"bbox":{"x0":863,"y0":510,"x1":970,"y1":534}},{"id":"p1:w28:81,650,165,669","text":"Damaged","confidence":96,"bbox":{"x0":81,"y0":650,"x1":165,"y1":669}},{"id":"p1:w29:173,654,204,665","text":"row","confidence":94,"bbox":{"x0":173,"y0":654,"x1":204,"y1":665}},{"id":"p1:w30:211,650,224,665","text":"is","confidence":94,"bbox":{"x0":211,"y0":650,"x1":224,"y1":665}},{"id":"p1:w31:231,650,332,665","text":"unresolved.","confidence":96,"bbox":{"x0":231,"y0":650,"x1":332,"y1":665}},{"id":"p1:w32:339,650,373,665","text":"The","confidence":96,"bbox":{"x0":339,"y0":650,"x1":373,"y1":665}},{"id":"p1:w33:379,650,416,665","text":"total","confidence":96,"bbox":{"x0":379,"y0":650,"x1":416,"y1":665}},{"id":"p1:w34:424,650,436,665","text":"is","confidence":96,"bbox":{"x0":424,"y0":650,"x1":436,"y1":665}},{"id":"p1:w35:444,651,470,665","text":"not","confidence":96,"bbox":{"x0":444,"y0":651,"x1":470,"y1":665}},{"id":"p1:w36:476,654,486,665","text":"a","confidence":96,"bbox":{"x0":476,"y0":654,"x1":486,"y1":665}},{"id":"p1:w37:493,650,594,665","text":"transaction.","confidence":96,"bbox":{"x0":493,"y0":650,"x1":594,"y1":665}}]}]},"pixelSha256":"adb616c121c8c8f9ae8e4c9051c3a8f46b100b286c63e569c3d33b761044a032","revision":"fb51e0ed88ded4f475f63840786912d1310c093d13d8607e0987f733883d1109","cells":[],"regions":[{"id":"region:1","origin":"manual-crop","role":"reference","value":"INV-</t>
  </si>
  <si>
    <t>001","observed":[{"wordId":"p1:w16:94,270,188,290","text":"INV-001","complete":true}],"region":{"x0":88,"y0":240,"x1":342,"y1":320},"review":{"revision":"fb51e0ed88ded4f475f63840786912d1310c093d13d8607e0987f733883d1109","fingerprint":"42153ef418ea801d17887e40b0d234661e3a203f1ae37c2393d32afabcc2b60a","checkedAt":"2026-10-03T12:47:13.018Z"}},{"id":"region:2","origin":"manual-crop","role":"date","value":"2026-07-01","observed":[{"wordId":"p1:w17:363,270,500,290","text":"2026-07-01","complete":true}],"region":{"x0":358,"y0":240,"x1":612,"y1":320},"review":{"revision":"fb51e0ed88ded4f475f63840786912d1310c093d13d8607e0987f733883d1109","fingerprint":"079af33e0569f76241ac4c3ecb49df46b4710fffbe7e0daf44d4cbc3fd57c3a6","checkedAt":"2026-10-03T12:47:14.122Z"}},{"id":"region:3","origin":"manual-crop","role":"amount","value":"-٢٥٠٫٠٠","observed":[{"wordId":"p1:w18:633,270,719,289","text":"“You,","complete":true}],"region":{"x0":628,"y0":240,"x1":842,"y1":320},"review":{"revision":"fb51e0ed88ded4f475f63840786912d1310c093d13d8607e0987f733883d1109","fingerprint":"dd6fbfade8425ae48e39ebf3e784f98e081664ee5492ccca5c705f439ccf945c","checkedAt":"2026-10-03T12:47:14.351Z"}},{"id":"region:4","origin":"manual-crop","role":"amount","value":"٩٬٩٩٩٫٠٠","observed":[{"wordId":"p1:w19:865,269,963,289","text":"16","complete":true}],"region":{"x0":858,"y0":240,"x1":1112,"y1":320},"review":{"revision":"fb51e0ed88ded4f475f63840786912d1310c093d13d8607e0987f733883d1109","fingerprint":"2a11f13b74fbf5c2d42db7dc99a58f78d2f14591a06313306aafa80dd02529d2","checkedAt":"2026-10-03T12:47:14.568Z"}},{"id":"region:5","origin":"manual-crop","role":"reference","value":"Reference","observed":[{"wordId":"p1:w12:93,180,184,195","text":"Reference","complete":true}],"region":{"x0":88,"x1":342,"y0":170,"y1":215},"review":{"revision":"fb51e0ed88ded4f475f63840786912d1310c093d13d8607e0987f733883d1109","fingerprint":"da7469aaeb9bb093ec9d141430f0070f5fe33c883b6572b396ab1e6ee9d9ecc8","checkedAt":"2026-10-04T09:00:00.000Z"}},{"id":"region:6","origin":"manual-crop","role":"reference","value":"Date","observed":[{"wordId":"p1:w13:363,176,403,205","text":"Date","complete":true}],"region":{"x0":358,"x1":612,"y0":170,"y1":215},"review":{"revision":"fb51e0ed88ded4f475f63840786912d1310c093d13d8607e0987f733883d1109","fingerprint":"85b8997b6a693092f94f99ac739bd3587b3a82c2c6b93aedc38f01dee5b549d4","checkedAt":"2026-10-04T09:00:00.000Z"}},{"id":"region:7","origin":"manual-crop","role":"reference","value":"Movement","observed":[{"wordId":"p1:w14:633,176,725,205","text":"Movement","complete":true}],"region":{"x0":628,"x1":842,"y0":170,"y1":215},"review":{"revision":"fb51e0ed88ded4f475f63840786912d1310c093d13d8607e0987f733883d1109","fingerprint":"a7044c9560ffe5fae39e8f726ea39efd12599fe79c9578ba5c0933488e657bfc","checkedAt":"2026-10-04T09:00:00.000Z"}},{"id":"region:8","origin":"manual-crop","role":"reference","value":"Balance","observed":[{"wordId":"p1:w15:863,180,934,195","text":"Balance","complete":true}],"region":{"x0":</t>
  </si>
  <si>
    <t>858,"x1":1112,"y0":170,"y1":215},"review":{"revision":"fb51e0ed88ded4f475f63840786912d1310c093d13d8607e0987f733883d1109","fingerprint":"fc3fdaddda7733b65ef248c0cdd0b109661bcde56b57572c449043a9e3caf379","checkedAt":"2026-10-04T09:00:00.000Z"}},{"id":"region:9","origin":"manual-crop","role":"reference","value":"INV-999","observed":[{"wordId":"p1:w20:94,390,192,410","text":"INV-002","complete":true}],"region":{"x0":88,"x1":342,"y0":360,"y1":440},"review":{"revision":"fb51e0ed88ded4f475f63840786912d1310c093d13d8607e0987f733883d1109","fingerprint":"5ed6201e3b20cd595695d466853fd27e361389534fde0dae14b83e1726126bfe","checkedAt":"2026-10-04T09:00:00.000Z"}},{"id":"region:10","origin":"manual-crop","role":"date","value":"2026-07-02","observed":[{"wordId":"p1:w21:363,390,504,410","text":"2026-07-02","complete":true}],"region":{"x0":358,"x1":612,"y0":360,"y1":440},"review":{"revision":"fb51e0ed88ded4f475f63840786912d1310c093d13d8607e0987f733883d1109","fingerprint":"90833564424abe519ea3865aa6edc4bbd0323f6f04f05acb69d8414080de196a","checkedAt":"2026-10-04T09:00:00.000Z"}},{"id":"region:12","origin":"manual-crop","role":"amount","value":"-250.00","observed":[{"wordId":"p1:w22:634,390,763,416","text":"[damaged]","complete":true}],"region":{"x0":628,"x1":842,"y0":360,"y1":440},"review":{"revision":"fb51e0ed88ded4f475f63840786912d1310c093d13d8607e0987f733883d1109","fingerprint":"ad48cd3b86c3f2eecd7f47ae7808f7fa8429928a67ea1125cba349550c673145","checkedAt":"2026-10-04T09:00:00.000Z"}},{"id":"region:11","origin":"manual-crop","role":"currency","value":"SAR","observed":[{"wordId":"p1:w8:339,110,379,125","text":"SAR","complete":true}],"region":{"x0":337,"x1":381,"y0":108,"y1":127},"review":{"revision":"fb51e0ed88ded4f475f63840786912d1310c093d13d8607e0987f733883d1109","fingerprint":"145666929e40e46207b34142dc6d1506ebd758bed466e9736904c4f82af8d4a4","checkedAt":"2026-10-04T09:00:00.000Z"}},{"id":"region:13","origin":"manual-crop","role":"reference","value":"Closing total","observed":[{"wordId":"p1:w24:93,509,184,536","text":"Closing","complete":true},{"wordId":"p1:w25:194,510,244,530","text":"total","complete":true}],"region":{"x0":88,"x1":342,"y0":480,"y1":560},"review":{"revision":"fb51e0ed88ded4f475f63840786912d1310c093d13d8607e0987f733883d1109","fingerprint":"9cf1ec6542488665328385df72647e2cab9d000a289475c736cb3bc0427da225","checkedAt":"2026-10-04T09:00:00.000Z"}}]},"revision":"69bb1f040f74e63a5e8d53026792f85dafde4b14dc05abd9f884ae7d6858fd7f","grid":{"region":{"x0":80,"y0":220,"x1":1120,"y1":580},"rowCuts":[220,340,460,580],"columnCuts":[80,350,620,850,1120],"roles":["reference","date","amount","balance"]},"rows":[{"id":"row:1","disposition":"movement","note":"","cells":["region:1","region:2","region:3","region:4"],"review":null},{"id":"row:2","disposition":"non-movement","note":"Declared as total by reviewer","cells":["region:9",null,null,null],"review":{"fingerprint":"761620dabd586725de20915cc776f2f8bdd52ac6e460fa1c9ed746d4acb6d3f5","checkedAt":"2026-10-04T09:00:00</t>
  </si>
  <si>
    <t>.000Z"}},{"id":"row:3","disposition":"non-movement","note":"Printed closing total, not a movement","cells":["region:13",null,null,null],"review":{"fingerprint":"9b64e42159311f4139c52eed416e2b8f19b972a906d9994d5fb0dc524817b40e","checkedAt":"2026-10-04T09:00:00.000Z"}}],"coverage":{"fingerprint":"d3d522e3e7672e7296bc1adf5a368d56fbe29399015c404ee9c8495e1706ba8b","checkedAt":"2026-10-04T09:00:00.000Z"}},"headers":["region:5","region:6","region:7","region:8"],"currencyProof":"region:11","context":{"side":"supplier","supplier":"Synthetic Supplier","entity":"Synthetic Entity","account":"","currency":"SAR","decimals":2,"periodStart":"2026-07-01","cutoff":"2026-07-31","multiplier":1,"numberFormat":"dot","dateFormat":"ymd"},"review":{"fingerprint":"fffb7452ae11179d5758325a0d81d3ae7c7f62e7da4679432e840e99f5208349","checkedAt":"2026-10-04T09:00:00.000Z"}}</t>
  </si>
  <si>
    <t>Original PNG; human-reviewed transactions only</t>
  </si>
  <si>
    <t>الرمز</t>
  </si>
  <si>
    <t>التفسير</t>
  </si>
  <si>
    <t>حركات المصدر</t>
  </si>
  <si>
    <t>EXCLUDED_MOVEMENT_MEMBERSHIP</t>
  </si>
  <si>
    <t>المورد: يوجد صف مستبعد لم تتضح هويته؛ أُوقف الاعتماد الآلي حتى تتضح القراءة. لم يُثبت اكتمال تسوية الأرصدة.</t>
  </si>
  <si>
    <t/>
  </si>
  <si>
    <t>SOURCE_WARNING</t>
  </si>
  <si>
    <t>المورد: القيم من صورة مراجعة يدويًا وتخص مقارنة الحركات فقط. لم تُثبت تسوية الأرصدة أو اكتمال الفترة.</t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</si>
  <si>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</si>
  <si>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</si>
  <si>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</si>
  <si>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</si>
  <si>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</si>
  <si>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NO_SUPPLIER_COUNTERPART</t>
  </si>
  <si>
    <t>لم يُعثر في الملفات المقدمة على حركة مورد تصلح مقابلًا لهذه الحركة.</t>
  </si>
  <si>
    <t>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</si>
  <si>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</si>
  <si>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</si>
  <si>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</si>
  <si>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</si>
  <si>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</si>
  <si>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</si>
  <si>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</si>
  <si>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</si>
  <si>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</si>
  <si>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</si>
  <si>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</si>
  <si>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</si>
  <si>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</si>
  <si>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</si>
  <si>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</si>
  <si>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</si>
  <si>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</si>
  <si>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</si>
  <si>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</si>
  <si>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</si>
  <si>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SOURCE_MEMBERSHIP_UNVERIFIED_V1</t>
  </si>
  <si>
    <t>supplier:0:2</t>
  </si>
  <si>
    <t>Reviewed image</t>
  </si>
  <si>
    <t>INV-001</t>
  </si>
  <si>
    <t>document-reference</t>
  </si>
  <si>
    <t>ledger:0:2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</si>
  <si>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</si>
  <si>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</si>
  <si>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</si>
  <si>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</si>
  <si>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</si>
  <si>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</si>
  <si>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</si>
  <si>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</si>
  <si>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</si>
  <si>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</si>
  <si>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</si>
  <si>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</si>
  <si>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</si>
  <si>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</si>
  <si>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INV001</t>
  </si>
  <si>
    <t>-٢٥٠٫٠٠</t>
  </si>
  <si>
    <t>-250.00</t>
  </si>
  <si>
    <t>INV002</t>
  </si>
  <si>
    <t>80.00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</si>
  <si>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</si>
  <si>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</si>
  <si>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</si>
  <si>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</si>
  <si>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</si>
  <si>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["Reference","Date","Movement","Balance"]</t>
  </si>
  <si>
    <t>Declared as total by reviewer</t>
  </si>
  <si>
    <t>["INV-999","","",""]</t>
  </si>
  <si>
    <t>Printed closing total, not a movement</t>
  </si>
  <si>
    <t>["Closing total","","",""]</t>
  </si>
  <si>
    <t>الدفتر</t>
  </si>
  <si>
    <t>["Reference","Date","Amount","Currency"]</t>
  </si>
  <si>
    <t>الحقل</t>
  </si>
  <si>
    <t>القيمة</t>
  </si>
  <si>
    <t>Scope</t>
  </si>
  <si>
    <t>{"supplier":"Synthetic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</si>
  <si>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</si>
  <si>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2,"debit":-1,"credit":-1,"currencyColumn":-1,"mode":"signed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</si>
  <si>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</si>
  <si>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</si>
  <si>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</si>
  <si>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</si>
  <si>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</si>
  <si>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</si>
  <si>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</si>
  <si>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</si>
  <si>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</si>
  <si>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</si>
  <si>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</si>
  <si>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</si>
  <si>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</si>
  <si>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</si>
  <si>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</si>
  <si>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omitted-reviewed-facts.tarasuf-reviewed.json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</si>
  <si>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</si>
  <si>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</si>
  <si>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</si>
  <si>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</si>
  <si>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</si>
  <si>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</si>
  <si>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</si>
  <si>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</si>
  <si>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</si>
  <si>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</si>
  <si>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</si>
  <si>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Movement</t>
  </si>
  <si>
    <t>Balance</t>
  </si>
  <si>
    <t>2026-07-01</t>
  </si>
  <si>
    <t>٩٬٩٩٩٫٠٠</t>
  </si>
  <si>
    <t>INV-999</t>
  </si>
  <si>
    <t>Closing total</t>
  </si>
  <si>
    <t>2026-07-02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</si>
  <si>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</si>
  <si>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</si>
  <si>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</si>
  <si>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</si>
  <si>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</si>
  <si>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</si>
  <si>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</si>
  <si>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</si>
  <si>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</si>
  <si>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12e2c74ace11a13efe86fbb4fd8e5cb1e6454833eab60b27244e475d5c32a218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</si>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</sst>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COUNTIF('Matches'!Q2:Q2,"Auto")</f>
        <v>0</v>
      </c>
    </row>
    <row r="29" ht="30" customHeight="1" spans="1:2" s="3" customFormat="1" x14ac:dyDescent="0.25">
      <c r="A29" s="3" t="s">
        <v>38</v>
      </c>
      <c r="B29" s="6">
        <f>SUM('Matches'!O2:P2)</f>
        <v>0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41</v>
      </c>
      <c r="B32" s="6">
        <f>COUNTA('Unmatched'!A2:A2)</f>
        <v>1</v>
      </c>
    </row>
    <row r="33" ht="30" customHeight="1" spans="1:2" s="3" customFormat="1" x14ac:dyDescent="0.25">
      <c r="A33" s="3" t="s">
        <v>42</v>
      </c>
      <c r="B33" s="6">
        <f>SUM('Unmatched'!K2:K2)</f>
        <v>1</v>
      </c>
    </row>
    <row r="34" ht="30" customHeight="1" spans="1:2" s="3" customFormat="1" x14ac:dyDescent="0.25">
      <c r="A34" s="3" t="s">
        <v>43</v>
      </c>
      <c r="B34" s="3">
        <f>COUNTIF('Matches'!Q2:Q2,"Manual")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Bridge'!E4</f>
        <v>80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56</v>
      </c>
      <c r="B1" s="2" t="s">
        <v>57</v>
      </c>
      <c r="C1" s="2" t="s">
        <v>58</v>
      </c>
      <c r="D1" s="2" t="s">
        <v>59</v>
      </c>
      <c r="E1" s="8" t="s">
        <v>60</v>
      </c>
      <c r="F1" s="2" t="s">
        <v>61</v>
      </c>
      <c r="G1" s="2" t="s">
        <v>62</v>
      </c>
      <c r="H1" s="8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56</v>
      </c>
      <c r="B1" s="2" t="s">
        <v>73</v>
      </c>
      <c r="C1" s="2" t="s">
        <v>74</v>
      </c>
      <c r="D1" s="2" t="s">
        <v>75</v>
      </c>
      <c r="E1" s="8" t="s">
        <v>76</v>
      </c>
      <c r="F1" s="8" t="s">
        <v>77</v>
      </c>
      <c r="G1" s="8" t="s">
        <v>78</v>
      </c>
      <c r="H1" s="2" t="s">
        <v>67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68</v>
      </c>
      <c r="N1" s="2" t="s">
        <v>70</v>
      </c>
      <c r="O1" s="2" t="s">
        <v>71</v>
      </c>
      <c r="P1" s="2" t="s">
        <v>83</v>
      </c>
      <c r="Q1" s="2" t="s">
        <v>84</v>
      </c>
    </row>
    <row r="2" ht="42" customHeight="1" spans="1:17" s="9" customFormat="1" x14ac:dyDescent="0.25">
      <c r="A2" s="10" t="s">
        <v>85</v>
      </c>
      <c r="B2" s="10" t="s">
        <v>86</v>
      </c>
      <c r="C2" s="10" t="s">
        <v>87</v>
      </c>
      <c r="D2" s="10" t="s">
        <v>88</v>
      </c>
      <c r="E2" s="11">
        <v>-250</v>
      </c>
      <c r="F2" s="11">
        <v>-250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56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  <row r="2" ht="42" customHeight="1" spans="1:11" s="13" customFormat="1" x14ac:dyDescent="0.25">
      <c r="A2" s="14" t="s">
        <v>106</v>
      </c>
      <c r="B2" s="14" t="s">
        <v>107</v>
      </c>
      <c r="C2" s="15">
        <v>46205</v>
      </c>
      <c r="D2" s="14" t="s">
        <v>108</v>
      </c>
      <c r="E2" s="14" t="s">
        <v>109</v>
      </c>
      <c r="F2" s="13"/>
      <c r="G2" s="13"/>
      <c r="H2" s="16">
        <v>80</v>
      </c>
      <c r="I2" s="14" t="s">
        <v>110</v>
      </c>
      <c r="J2" s="17" t="s">
        <v>111</v>
      </c>
      <c r="K2" s="14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56</v>
      </c>
      <c r="B1" s="2" t="s">
        <v>73</v>
      </c>
      <c r="C1" s="8" t="s">
        <v>60</v>
      </c>
      <c r="D1" s="8" t="s">
        <v>63</v>
      </c>
      <c r="E1" s="8" t="s">
        <v>112</v>
      </c>
      <c r="F1" s="2" t="s">
        <v>113</v>
      </c>
      <c r="G1" s="2" t="s">
        <v>114</v>
      </c>
      <c r="H1" s="2" t="s">
        <v>115</v>
      </c>
    </row>
    <row r="2" ht="42" customHeight="1" spans="1:8" x14ac:dyDescent="0.25">
      <c r="A2" s="3" t="s">
        <v>106</v>
      </c>
      <c r="B2" s="3" t="s">
        <v>116</v>
      </c>
      <c r="C2" s="18">
        <v>0</v>
      </c>
      <c r="D2" s="18">
        <v>80</v>
      </c>
      <c r="E2" s="18">
        <v>80</v>
      </c>
      <c r="F2" s="3" t="s">
        <v>110</v>
      </c>
      <c r="G2" s="3" t="s">
        <v>117</v>
      </c>
      <c r="H2" s="19" t="s">
        <v>118</v>
      </c>
    </row>
    <row r="4" ht="32" customHeight="1" spans="4:5" x14ac:dyDescent="0.25">
      <c r="D4" s="20" t="s">
        <v>45</v>
      </c>
      <c r="E4" s="7">
        <f>SUM(E2:E2)</f>
        <v>80</v>
      </c>
    </row>
    <row r="5" ht="32" customHeight="1" spans="4:5" x14ac:dyDescent="0.25">
      <c r="D5" s="20" t="s">
        <v>25</v>
      </c>
      <c r="E5" s="7"/>
    </row>
    <row r="6" ht="32" customHeight="1" spans="4:5" x14ac:dyDescent="0.25">
      <c r="D6" s="20" t="s">
        <v>46</v>
      </c>
      <c r="E6" s="7"/>
    </row>
    <row r="7" ht="32" customHeight="1" spans="4:5" x14ac:dyDescent="0.25">
      <c r="D7" s="20" t="s">
        <v>26</v>
      </c>
      <c r="E7" s="7"/>
    </row>
    <row r="8" ht="32" customHeight="1" spans="4:5" x14ac:dyDescent="0.25">
      <c r="D8" s="20" t="s">
        <v>47</v>
      </c>
      <c r="E8" s="7"/>
    </row>
    <row r="10" spans="1:8" x14ac:dyDescent="0.25">
      <c r="A10" s="21" t="s">
        <v>119</v>
      </c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3" spans="1:8" x14ac:dyDescent="0.25">
      <c r="A13" t="s">
        <v>120</v>
      </c>
      <c r="B13"/>
      <c r="C13"/>
      <c r="D13"/>
      <c r="E13"/>
      <c r="F13"/>
      <c r="G13"/>
      <c r="H13"/>
    </row>
    <row r="14" ht="48" customHeight="1" spans="1:8" s="3" customFormat="1" x14ac:dyDescent="0.25">
      <c r="A14" s="3" t="s">
        <v>85</v>
      </c>
      <c r="B14" s="3" t="s">
        <v>86</v>
      </c>
      <c r="C14" s="18">
        <v>-250</v>
      </c>
      <c r="D14" s="18">
        <v>-250</v>
      </c>
      <c r="E14" s="18">
        <v>0</v>
      </c>
      <c r="F14" s="3" t="s">
        <v>89</v>
      </c>
      <c r="G14" s="3" t="s">
        <v>93</v>
      </c>
      <c r="H14" s="3" t="s">
        <v>121</v>
      </c>
    </row>
  </sheetData>
  <autoFilter ref="A1:H2"/>
  <mergeCells count="2">
    <mergeCell ref="A10:H11"/>
    <mergeCell ref="A13:H13"/>
  </mergeCells>
  <hyperlinks>
    <hyperlink ref="H2" r:id="rId1" location="#'Unmatched'!A2"/>
    <hyperlink ref="H14" r:id="rId2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122</v>
      </c>
    </row>
    <row r="3" ht="42" customHeight="1" spans="1:2" x14ac:dyDescent="0.25">
      <c r="A3" s="3" t="s">
        <v>123</v>
      </c>
    </row>
    <row r="4" ht="42" customHeight="1" spans="1:2" x14ac:dyDescent="0.25">
      <c r="A4" s="3" t="s">
        <v>124</v>
      </c>
      <c r="B4" s="3" t="s">
        <v>125</v>
      </c>
    </row>
    <row r="5" ht="42" customHeight="1" spans="1:2" x14ac:dyDescent="0.25">
      <c r="A5" s="3" t="s">
        <v>126</v>
      </c>
      <c r="B5" s="3" t="s">
        <v>92</v>
      </c>
    </row>
    <row r="6" ht="42" customHeight="1" spans="1:2" x14ac:dyDescent="0.25">
      <c r="A6" s="3" t="s">
        <v>127</v>
      </c>
      <c r="B6" s="3" t="s">
        <v>128</v>
      </c>
    </row>
    <row r="7" ht="42" customHeight="1" spans="1:2" x14ac:dyDescent="0.25">
      <c r="A7" s="3" t="s">
        <v>129</v>
      </c>
    </row>
    <row r="8" ht="42" customHeight="1" spans="1:2" x14ac:dyDescent="0.25">
      <c r="A8" s="3" t="s">
        <v>2</v>
      </c>
      <c r="B8" s="3" t="s">
        <v>130</v>
      </c>
    </row>
    <row r="9" ht="42" customHeight="1" spans="1:2" x14ac:dyDescent="0.25">
      <c r="A9" s="3" t="s">
        <v>131</v>
      </c>
      <c r="B9" s="19" t="s">
        <v>132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2" customFormat="1" x14ac:dyDescent="0.25">
      <c r="A1" s="22" t="s">
        <v>96</v>
      </c>
      <c r="B1" s="22" t="s">
        <v>133</v>
      </c>
      <c r="C1" s="22" t="s">
        <v>134</v>
      </c>
      <c r="D1" s="22" t="s">
        <v>135</v>
      </c>
      <c r="E1" s="22" t="s">
        <v>136</v>
      </c>
      <c r="F1" s="22" t="s">
        <v>137</v>
      </c>
      <c r="G1" s="22" t="s">
        <v>138</v>
      </c>
      <c r="H1" s="22" t="s">
        <v>139</v>
      </c>
    </row>
    <row r="2" spans="1:8" s="3" customFormat="1" x14ac:dyDescent="0.25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145</v>
      </c>
      <c r="G2" s="3" t="s">
        <v>146</v>
      </c>
      <c r="H2" s="3" t="s">
        <v>147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2" customFormat="1" x14ac:dyDescent="0.25">
      <c r="A1" s="22" t="s">
        <v>96</v>
      </c>
      <c r="B1" s="22" t="s">
        <v>148</v>
      </c>
      <c r="C1" s="22" t="s">
        <v>149</v>
      </c>
    </row>
    <row r="2" spans="1:3" s="3" customFormat="1" x14ac:dyDescent="0.25">
      <c r="A2" s="3" t="s">
        <v>140</v>
      </c>
      <c r="B2" s="3">
        <v>1</v>
      </c>
      <c r="C2" s="3" t="s">
        <v>150</v>
      </c>
    </row>
    <row r="3" spans="1:3" s="3" customFormat="1" x14ac:dyDescent="0.25">
      <c r="A3" s="3" t="s">
        <v>140</v>
      </c>
      <c r="B3" s="3">
        <v>2</v>
      </c>
      <c r="C3" s="3" t="s">
        <v>151</v>
      </c>
    </row>
    <row r="4" spans="1:3" s="3" customFormat="1" x14ac:dyDescent="0.25">
      <c r="A4" s="3" t="s">
        <v>140</v>
      </c>
      <c r="B4" s="3">
        <v>3</v>
      </c>
      <c r="C4" s="3" t="s">
        <v>152</v>
      </c>
    </row>
    <row r="5" spans="1:3" s="3" customFormat="1" x14ac:dyDescent="0.25">
      <c r="A5" s="3" t="s">
        <v>140</v>
      </c>
      <c r="B5" s="3">
        <v>4</v>
      </c>
      <c r="C5" s="3" t="s">
        <v>153</v>
      </c>
    </row>
    <row r="6" spans="1:3" s="3" customFormat="1" x14ac:dyDescent="0.25">
      <c r="A6" s="3" t="s">
        <v>140</v>
      </c>
      <c r="B6" s="3">
        <v>5</v>
      </c>
      <c r="C6" s="3" t="s">
        <v>154</v>
      </c>
    </row>
    <row r="7" spans="1:3" s="3" customFormat="1" x14ac:dyDescent="0.25">
      <c r="A7" s="3" t="s">
        <v>140</v>
      </c>
      <c r="B7" s="3">
        <v>6</v>
      </c>
      <c r="C7" s="3" t="s">
        <v>155</v>
      </c>
    </row>
    <row r="8" spans="1:3" s="3" customFormat="1" x14ac:dyDescent="0.25">
      <c r="A8" s="3" t="s">
        <v>140</v>
      </c>
      <c r="B8" s="3">
        <v>7</v>
      </c>
      <c r="C8" s="3" t="s">
        <v>156</v>
      </c>
    </row>
    <row r="9" spans="1:3" s="3" customFormat="1" x14ac:dyDescent="0.25">
      <c r="A9" s="3" t="s">
        <v>140</v>
      </c>
      <c r="B9" s="3">
        <v>8</v>
      </c>
      <c r="C9" s="3" t="s">
        <v>157</v>
      </c>
    </row>
    <row r="10" spans="1:3" s="3" customFormat="1" x14ac:dyDescent="0.25">
      <c r="A10" s="3" t="s">
        <v>140</v>
      </c>
      <c r="B10" s="3">
        <v>9</v>
      </c>
      <c r="C10" s="3" t="s">
        <v>158</v>
      </c>
    </row>
    <row r="11" spans="1:3" s="3" customFormat="1" x14ac:dyDescent="0.25">
      <c r="A11" s="3" t="s">
        <v>140</v>
      </c>
      <c r="B11" s="3">
        <v>10</v>
      </c>
      <c r="C11" s="3" t="s">
        <v>159</v>
      </c>
    </row>
    <row r="12" spans="1:3" s="3" customFormat="1" x14ac:dyDescent="0.25">
      <c r="A12" s="3" t="s">
        <v>140</v>
      </c>
      <c r="B12" s="3">
        <v>11</v>
      </c>
      <c r="C12" s="3" t="s">
        <v>160</v>
      </c>
    </row>
    <row r="13" spans="1:3" s="3" customFormat="1" x14ac:dyDescent="0.25">
      <c r="A13" s="3" t="s">
        <v>140</v>
      </c>
      <c r="B13" s="3">
        <v>12</v>
      </c>
      <c r="C13" s="3" t="s">
        <v>161</v>
      </c>
    </row>
    <row r="14" spans="1:3" s="3" customFormat="1" x14ac:dyDescent="0.25">
      <c r="A14" s="3" t="s">
        <v>140</v>
      </c>
      <c r="B14" s="3">
        <v>13</v>
      </c>
      <c r="C14" s="3" t="s">
        <v>162</v>
      </c>
    </row>
    <row r="15" spans="1:3" s="3" customFormat="1" x14ac:dyDescent="0.25">
      <c r="A15" s="3" t="s">
        <v>140</v>
      </c>
      <c r="B15" s="3">
        <v>14</v>
      </c>
      <c r="C15" s="3" t="s">
        <v>163</v>
      </c>
    </row>
    <row r="16" spans="1:3" s="3" customFormat="1" x14ac:dyDescent="0.25">
      <c r="A16" s="3" t="s">
        <v>140</v>
      </c>
      <c r="B16" s="3">
        <v>15</v>
      </c>
      <c r="C16" s="3" t="s">
        <v>164</v>
      </c>
    </row>
    <row r="17" spans="1:3" s="3" customFormat="1" x14ac:dyDescent="0.25">
      <c r="A17" s="3" t="s">
        <v>140</v>
      </c>
      <c r="B17" s="3">
        <v>16</v>
      </c>
      <c r="C17" s="3" t="s">
        <v>165</v>
      </c>
    </row>
    <row r="18" spans="1:3" s="3" customFormat="1" x14ac:dyDescent="0.25">
      <c r="A18" s="3" t="s">
        <v>140</v>
      </c>
      <c r="B18" s="3">
        <v>17</v>
      </c>
      <c r="C18" s="3" t="s">
        <v>166</v>
      </c>
    </row>
    <row r="19" spans="1:3" s="3" customFormat="1" x14ac:dyDescent="0.25">
      <c r="A19" s="3" t="s">
        <v>140</v>
      </c>
      <c r="B19" s="3">
        <v>18</v>
      </c>
      <c r="C19" s="3" t="s">
        <v>167</v>
      </c>
    </row>
    <row r="20" spans="1:3" s="3" customFormat="1" x14ac:dyDescent="0.25">
      <c r="A20" s="3" t="s">
        <v>140</v>
      </c>
      <c r="B20" s="3">
        <v>19</v>
      </c>
      <c r="C20" s="3" t="s">
        <v>168</v>
      </c>
    </row>
    <row r="21" spans="1:3" s="3" customFormat="1" x14ac:dyDescent="0.25">
      <c r="A21" s="3" t="s">
        <v>140</v>
      </c>
      <c r="B21" s="3">
        <v>20</v>
      </c>
      <c r="C21" s="3" t="s">
        <v>169</v>
      </c>
    </row>
    <row r="22" spans="1:3" s="3" customFormat="1" x14ac:dyDescent="0.25">
      <c r="A22" s="3" t="s">
        <v>140</v>
      </c>
      <c r="B22" s="3">
        <v>21</v>
      </c>
      <c r="C22" s="3" t="s">
        <v>170</v>
      </c>
    </row>
    <row r="23" spans="1:3" s="3" customFormat="1" x14ac:dyDescent="0.25">
      <c r="A23" s="3" t="s">
        <v>140</v>
      </c>
      <c r="B23" s="3">
        <v>22</v>
      </c>
      <c r="C23" s="3" t="s">
        <v>171</v>
      </c>
    </row>
    <row r="24" spans="1:3" s="3" customFormat="1" x14ac:dyDescent="0.25">
      <c r="A24" s="3" t="s">
        <v>140</v>
      </c>
      <c r="B24" s="3">
        <v>23</v>
      </c>
      <c r="C24" s="3" t="s">
        <v>172</v>
      </c>
    </row>
    <row r="25" spans="1:3" s="3" customFormat="1" x14ac:dyDescent="0.25">
      <c r="A25" s="3" t="s">
        <v>140</v>
      </c>
      <c r="B25" s="3">
        <v>24</v>
      </c>
      <c r="C25" s="3" t="s">
        <v>173</v>
      </c>
    </row>
    <row r="26" spans="1:3" s="3" customFormat="1" x14ac:dyDescent="0.25">
      <c r="A26" s="3" t="s">
        <v>140</v>
      </c>
      <c r="B26" s="3">
        <v>25</v>
      </c>
      <c r="C26" s="3" t="s">
        <v>174</v>
      </c>
    </row>
    <row r="27" spans="1:3" s="3" customFormat="1" x14ac:dyDescent="0.25">
      <c r="A27" s="3" t="s">
        <v>140</v>
      </c>
      <c r="B27" s="3">
        <v>26</v>
      </c>
      <c r="C27" s="3" t="s">
        <v>175</v>
      </c>
    </row>
    <row r="28" spans="1:3" s="3" customFormat="1" x14ac:dyDescent="0.25">
      <c r="A28" s="3" t="s">
        <v>140</v>
      </c>
      <c r="B28" s="3">
        <v>27</v>
      </c>
      <c r="C28" s="3" t="s">
        <v>176</v>
      </c>
    </row>
    <row r="29" spans="1:3" s="3" customFormat="1" x14ac:dyDescent="0.25">
      <c r="A29" s="3" t="s">
        <v>140</v>
      </c>
      <c r="B29" s="3">
        <v>28</v>
      </c>
      <c r="C29" s="3" t="s">
        <v>177</v>
      </c>
    </row>
    <row r="30" spans="1:3" s="3" customFormat="1" x14ac:dyDescent="0.25">
      <c r="A30" s="3" t="s">
        <v>140</v>
      </c>
      <c r="B30" s="3">
        <v>29</v>
      </c>
      <c r="C30" s="3" t="s">
        <v>178</v>
      </c>
    </row>
    <row r="31" spans="1:3" s="3" customFormat="1" x14ac:dyDescent="0.25">
      <c r="A31" s="3" t="s">
        <v>140</v>
      </c>
      <c r="B31" s="3">
        <v>30</v>
      </c>
      <c r="C31" s="3" t="s">
        <v>179</v>
      </c>
    </row>
    <row r="32" spans="1:3" s="3" customFormat="1" x14ac:dyDescent="0.25">
      <c r="A32" s="3" t="s">
        <v>140</v>
      </c>
      <c r="B32" s="3">
        <v>31</v>
      </c>
      <c r="C32" s="3" t="s">
        <v>180</v>
      </c>
    </row>
    <row r="33" spans="1:3" s="3" customFormat="1" x14ac:dyDescent="0.25">
      <c r="A33" s="3" t="s">
        <v>140</v>
      </c>
      <c r="B33" s="3">
        <v>32</v>
      </c>
      <c r="C33" s="3" t="s">
        <v>181</v>
      </c>
    </row>
    <row r="34" spans="1:3" s="3" customFormat="1" x14ac:dyDescent="0.25">
      <c r="A34" s="3" t="s">
        <v>140</v>
      </c>
      <c r="B34" s="3">
        <v>33</v>
      </c>
      <c r="C34" s="3" t="s">
        <v>182</v>
      </c>
    </row>
    <row r="35" spans="1:3" s="3" customFormat="1" x14ac:dyDescent="0.25">
      <c r="A35" s="3" t="s">
        <v>140</v>
      </c>
      <c r="B35" s="3">
        <v>34</v>
      </c>
      <c r="C35" s="3" t="s">
        <v>183</v>
      </c>
    </row>
    <row r="36" spans="1:3" s="3" customFormat="1" x14ac:dyDescent="0.25">
      <c r="A36" s="3" t="s">
        <v>140</v>
      </c>
      <c r="B36" s="3">
        <v>35</v>
      </c>
      <c r="C36" s="3" t="s">
        <v>184</v>
      </c>
    </row>
    <row r="37" spans="1:3" s="3" customFormat="1" x14ac:dyDescent="0.25">
      <c r="A37" s="3" t="s">
        <v>140</v>
      </c>
      <c r="B37" s="3">
        <v>36</v>
      </c>
      <c r="C37" s="3" t="s">
        <v>185</v>
      </c>
    </row>
    <row r="38" spans="1:3" s="3" customFormat="1" x14ac:dyDescent="0.25">
      <c r="A38" s="3" t="s">
        <v>140</v>
      </c>
      <c r="B38" s="3">
        <v>37</v>
      </c>
      <c r="C38" s="3" t="s">
        <v>186</v>
      </c>
    </row>
    <row r="39" spans="1:3" s="3" customFormat="1" x14ac:dyDescent="0.25">
      <c r="A39" s="3" t="s">
        <v>140</v>
      </c>
      <c r="B39" s="3">
        <v>38</v>
      </c>
      <c r="C39" s="3" t="s">
        <v>187</v>
      </c>
    </row>
    <row r="40" spans="1:3" s="3" customFormat="1" x14ac:dyDescent="0.25">
      <c r="A40" s="3" t="s">
        <v>140</v>
      </c>
      <c r="B40" s="3">
        <v>39</v>
      </c>
      <c r="C40" s="3" t="s">
        <v>188</v>
      </c>
    </row>
    <row r="41" spans="1:3" s="3" customFormat="1" x14ac:dyDescent="0.25">
      <c r="A41" s="3" t="s">
        <v>140</v>
      </c>
      <c r="B41" s="3">
        <v>40</v>
      </c>
      <c r="C41" s="3" t="s">
        <v>189</v>
      </c>
    </row>
    <row r="42" spans="1:3" s="3" customFormat="1" x14ac:dyDescent="0.25">
      <c r="A42" s="3" t="s">
        <v>140</v>
      </c>
      <c r="B42" s="3">
        <v>41</v>
      </c>
      <c r="C42" s="3" t="s">
        <v>190</v>
      </c>
    </row>
    <row r="43" spans="1:3" s="3" customFormat="1" x14ac:dyDescent="0.25">
      <c r="A43" s="3" t="s">
        <v>140</v>
      </c>
      <c r="B43" s="3">
        <v>42</v>
      </c>
      <c r="C43" s="3" t="s">
        <v>191</v>
      </c>
    </row>
    <row r="44" spans="1:3" s="3" customFormat="1" x14ac:dyDescent="0.25">
      <c r="A44" s="3" t="s">
        <v>140</v>
      </c>
      <c r="B44" s="3">
        <v>43</v>
      </c>
      <c r="C44" s="3" t="s">
        <v>192</v>
      </c>
    </row>
    <row r="45" spans="1:3" s="3" customFormat="1" x14ac:dyDescent="0.25">
      <c r="A45" s="3" t="s">
        <v>140</v>
      </c>
      <c r="B45" s="3">
        <v>44</v>
      </c>
      <c r="C45" s="3" t="s">
        <v>193</v>
      </c>
    </row>
    <row r="46" spans="1:3" s="3" customFormat="1" x14ac:dyDescent="0.25">
      <c r="A46" s="3" t="s">
        <v>140</v>
      </c>
      <c r="B46" s="3">
        <v>45</v>
      </c>
      <c r="C46" s="3" t="s">
        <v>194</v>
      </c>
    </row>
    <row r="47" spans="1:3" s="3" customFormat="1" x14ac:dyDescent="0.25">
      <c r="A47" s="3" t="s">
        <v>140</v>
      </c>
      <c r="B47" s="3">
        <v>46</v>
      </c>
      <c r="C47" s="3" t="s">
        <v>195</v>
      </c>
    </row>
    <row r="48" spans="1:3" s="3" customFormat="1" x14ac:dyDescent="0.25">
      <c r="A48" s="3" t="s">
        <v>140</v>
      </c>
      <c r="B48" s="3">
        <v>47</v>
      </c>
      <c r="C48" s="3" t="s">
        <v>196</v>
      </c>
    </row>
    <row r="49" spans="1:3" s="3" customFormat="1" x14ac:dyDescent="0.25">
      <c r="A49" s="3" t="s">
        <v>140</v>
      </c>
      <c r="B49" s="3">
        <v>48</v>
      </c>
      <c r="C49" s="3" t="s">
        <v>197</v>
      </c>
    </row>
    <row r="50" spans="1:3" s="3" customFormat="1" x14ac:dyDescent="0.25">
      <c r="A50" s="3" t="s">
        <v>140</v>
      </c>
      <c r="B50" s="3">
        <v>49</v>
      </c>
      <c r="C50" s="3" t="s">
        <v>198</v>
      </c>
    </row>
    <row r="51" spans="1:3" s="3" customFormat="1" x14ac:dyDescent="0.25">
      <c r="A51" s="3" t="s">
        <v>140</v>
      </c>
      <c r="B51" s="3">
        <v>50</v>
      </c>
      <c r="C51" s="3" t="s">
        <v>199</v>
      </c>
    </row>
    <row r="52" spans="1:3" s="3" customFormat="1" x14ac:dyDescent="0.25">
      <c r="A52" s="3" t="s">
        <v>140</v>
      </c>
      <c r="B52" s="3">
        <v>51</v>
      </c>
      <c r="C52" s="3" t="s">
        <v>200</v>
      </c>
    </row>
    <row r="53" spans="1:3" s="3" customFormat="1" x14ac:dyDescent="0.25">
      <c r="A53" s="3" t="s">
        <v>140</v>
      </c>
      <c r="B53" s="3">
        <v>52</v>
      </c>
      <c r="C53" s="3" t="s">
        <v>201</v>
      </c>
    </row>
    <row r="54" spans="1:3" s="3" customFormat="1" x14ac:dyDescent="0.25">
      <c r="A54" s="3" t="s">
        <v>140</v>
      </c>
      <c r="B54" s="3">
        <v>53</v>
      </c>
      <c r="C54" s="3" t="s">
        <v>202</v>
      </c>
    </row>
    <row r="55" spans="1:3" s="3" customFormat="1" x14ac:dyDescent="0.25">
      <c r="A55" s="3" t="s">
        <v>140</v>
      </c>
      <c r="B55" s="3">
        <v>54</v>
      </c>
      <c r="C55" s="3" t="s">
        <v>203</v>
      </c>
    </row>
    <row r="56" spans="1:3" s="3" customFormat="1" x14ac:dyDescent="0.25">
      <c r="A56" s="3" t="s">
        <v>140</v>
      </c>
      <c r="B56" s="3">
        <v>55</v>
      </c>
      <c r="C56" s="3" t="s">
        <v>204</v>
      </c>
    </row>
    <row r="57" spans="1:3" s="3" customFormat="1" x14ac:dyDescent="0.25">
      <c r="A57" s="3" t="s">
        <v>140</v>
      </c>
      <c r="B57" s="3">
        <v>56</v>
      </c>
      <c r="C57" s="3" t="s">
        <v>205</v>
      </c>
    </row>
    <row r="58" spans="1:3" s="3" customFormat="1" x14ac:dyDescent="0.25">
      <c r="A58" s="3" t="s">
        <v>140</v>
      </c>
      <c r="B58" s="3">
        <v>57</v>
      </c>
      <c r="C58" s="3" t="s">
        <v>206</v>
      </c>
    </row>
    <row r="59" spans="1:3" s="3" customFormat="1" x14ac:dyDescent="0.25">
      <c r="A59" s="3" t="s">
        <v>140</v>
      </c>
      <c r="B59" s="3">
        <v>58</v>
      </c>
      <c r="C59" s="3" t="s">
        <v>207</v>
      </c>
    </row>
    <row r="60" spans="1:3" s="3" customFormat="1" x14ac:dyDescent="0.25">
      <c r="A60" s="3" t="s">
        <v>140</v>
      </c>
      <c r="B60" s="3">
        <v>59</v>
      </c>
      <c r="C60" s="3" t="s">
        <v>208</v>
      </c>
    </row>
    <row r="61" spans="1:3" s="3" customFormat="1" x14ac:dyDescent="0.25">
      <c r="A61" s="3" t="s">
        <v>140</v>
      </c>
      <c r="B61" s="3">
        <v>60</v>
      </c>
      <c r="C61" s="3" t="s">
        <v>209</v>
      </c>
    </row>
    <row r="62" spans="1:3" s="3" customFormat="1" x14ac:dyDescent="0.25">
      <c r="A62" s="3" t="s">
        <v>140</v>
      </c>
      <c r="B62" s="3">
        <v>61</v>
      </c>
      <c r="C62" s="3" t="s">
        <v>210</v>
      </c>
    </row>
    <row r="63" spans="1:3" s="3" customFormat="1" x14ac:dyDescent="0.25">
      <c r="A63" s="3" t="s">
        <v>140</v>
      </c>
      <c r="B63" s="3">
        <v>62</v>
      </c>
      <c r="C63" s="3" t="s">
        <v>211</v>
      </c>
    </row>
    <row r="64" spans="1:3" s="3" customFormat="1" x14ac:dyDescent="0.25">
      <c r="A64" s="3" t="s">
        <v>140</v>
      </c>
      <c r="B64" s="3">
        <v>63</v>
      </c>
      <c r="C64" s="3" t="s">
        <v>212</v>
      </c>
    </row>
    <row r="65" spans="1:3" s="3" customFormat="1" x14ac:dyDescent="0.25">
      <c r="A65" s="3" t="s">
        <v>140</v>
      </c>
      <c r="B65" s="3">
        <v>64</v>
      </c>
      <c r="C65" s="3" t="s">
        <v>213</v>
      </c>
    </row>
    <row r="66" spans="1:3" s="3" customFormat="1" x14ac:dyDescent="0.25">
      <c r="A66" s="3" t="s">
        <v>140</v>
      </c>
      <c r="B66" s="3">
        <v>65</v>
      </c>
      <c r="C66" s="3" t="s">
        <v>214</v>
      </c>
    </row>
    <row r="67" spans="1:3" s="3" customFormat="1" x14ac:dyDescent="0.25">
      <c r="A67" s="3" t="s">
        <v>140</v>
      </c>
      <c r="B67" s="3">
        <v>66</v>
      </c>
      <c r="C67" s="3" t="s">
        <v>215</v>
      </c>
    </row>
    <row r="68" spans="1:3" s="3" customFormat="1" x14ac:dyDescent="0.25">
      <c r="A68" s="3" t="s">
        <v>140</v>
      </c>
      <c r="B68" s="3">
        <v>67</v>
      </c>
      <c r="C68" s="3" t="s">
        <v>216</v>
      </c>
    </row>
    <row r="69" spans="1:3" s="3" customFormat="1" x14ac:dyDescent="0.25">
      <c r="A69" s="3" t="s">
        <v>140</v>
      </c>
      <c r="B69" s="3">
        <v>68</v>
      </c>
      <c r="C69" s="3" t="s">
        <v>217</v>
      </c>
    </row>
    <row r="70" spans="1:3" s="3" customFormat="1" x14ac:dyDescent="0.25">
      <c r="A70" s="3" t="s">
        <v>140</v>
      </c>
      <c r="B70" s="3">
        <v>69</v>
      </c>
      <c r="C70" s="3" t="s">
        <v>218</v>
      </c>
    </row>
    <row r="71" spans="1:3" s="3" customFormat="1" x14ac:dyDescent="0.25">
      <c r="A71" s="3" t="s">
        <v>140</v>
      </c>
      <c r="B71" s="3">
        <v>70</v>
      </c>
      <c r="C71" s="3" t="s">
        <v>219</v>
      </c>
    </row>
    <row r="72" spans="1:3" s="3" customFormat="1" x14ac:dyDescent="0.25">
      <c r="A72" s="3" t="s">
        <v>140</v>
      </c>
      <c r="B72" s="3">
        <v>71</v>
      </c>
      <c r="C72" s="3" t="s">
        <v>220</v>
      </c>
    </row>
    <row r="73" spans="1:3" s="3" customFormat="1" x14ac:dyDescent="0.25">
      <c r="A73" s="3" t="s">
        <v>140</v>
      </c>
      <c r="B73" s="3">
        <v>72</v>
      </c>
      <c r="C73" s="3" t="s">
        <v>221</v>
      </c>
    </row>
    <row r="74" spans="1:3" s="3" customFormat="1" x14ac:dyDescent="0.25">
      <c r="A74" s="3" t="s">
        <v>140</v>
      </c>
      <c r="B74" s="3">
        <v>73</v>
      </c>
      <c r="C74" s="3" t="s">
        <v>222</v>
      </c>
    </row>
    <row r="75" spans="1:3" s="3" customFormat="1" x14ac:dyDescent="0.25">
      <c r="A75" s="3" t="s">
        <v>140</v>
      </c>
      <c r="B75" s="3">
        <v>74</v>
      </c>
      <c r="C75" s="3" t="s">
        <v>223</v>
      </c>
    </row>
    <row r="76" spans="1:3" s="3" customFormat="1" x14ac:dyDescent="0.25">
      <c r="A76" s="3" t="s">
        <v>140</v>
      </c>
      <c r="B76" s="3">
        <v>75</v>
      </c>
      <c r="C76" s="3" t="s">
        <v>224</v>
      </c>
    </row>
    <row r="77" spans="1:3" s="3" customFormat="1" x14ac:dyDescent="0.25">
      <c r="A77" s="3" t="s">
        <v>140</v>
      </c>
      <c r="B77" s="3">
        <v>76</v>
      </c>
      <c r="C77" s="3" t="s">
        <v>225</v>
      </c>
    </row>
    <row r="78" spans="1:3" s="3" customFormat="1" x14ac:dyDescent="0.25">
      <c r="A78" s="3" t="s">
        <v>140</v>
      </c>
      <c r="B78" s="3">
        <v>77</v>
      </c>
      <c r="C78" s="3" t="s">
        <v>226</v>
      </c>
    </row>
    <row r="79" spans="1:3" s="3" customFormat="1" x14ac:dyDescent="0.25">
      <c r="A79" s="3" t="s">
        <v>140</v>
      </c>
      <c r="B79" s="3">
        <v>78</v>
      </c>
      <c r="C79" s="3" t="s">
        <v>227</v>
      </c>
    </row>
    <row r="80" spans="1:3" s="3" customFormat="1" x14ac:dyDescent="0.25">
      <c r="A80" s="3" t="s">
        <v>140</v>
      </c>
      <c r="B80" s="3">
        <v>79</v>
      </c>
      <c r="C80" s="3" t="s">
        <v>228</v>
      </c>
    </row>
    <row r="81" spans="1:3" s="3" customFormat="1" x14ac:dyDescent="0.25">
      <c r="A81" s="3" t="s">
        <v>140</v>
      </c>
      <c r="B81" s="3">
        <v>80</v>
      </c>
      <c r="C81" s="3" t="s">
        <v>229</v>
      </c>
    </row>
    <row r="82" spans="1:3" s="3" customFormat="1" x14ac:dyDescent="0.25">
      <c r="A82" s="3" t="s">
        <v>140</v>
      </c>
      <c r="B82" s="3">
        <v>81</v>
      </c>
      <c r="C82" s="3" t="s">
        <v>230</v>
      </c>
    </row>
  </sheetData>
  <autoFilter ref="A1:C8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2" customFormat="1" x14ac:dyDescent="0.25">
      <c r="A1" s="22" t="s">
        <v>231</v>
      </c>
    </row>
    <row r="2" spans="1:1" s="3" customFormat="1" x14ac:dyDescent="0.25">
      <c r="A2" s="3" t="s">
        <v>142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27" customWidth="1"/>
  </cols>
  <sheetData>
    <row r="1" ht="28" customHeight="1" spans="1:3" s="22" customFormat="1" x14ac:dyDescent="0.25">
      <c r="A1" s="22" t="s">
        <v>232</v>
      </c>
      <c r="B1" s="22" t="s">
        <v>233</v>
      </c>
      <c r="C1" s="22" t="s">
        <v>234</v>
      </c>
    </row>
    <row r="2" spans="1:3" s="3" customFormat="1" x14ac:dyDescent="0.25">
      <c r="A2" s="3" t="s">
        <v>235</v>
      </c>
      <c r="B2" s="3" t="s">
        <v>236</v>
      </c>
      <c r="C2" s="3" t="s">
        <v>237</v>
      </c>
    </row>
    <row r="3" spans="1:3" s="3" customFormat="1" x14ac:dyDescent="0.25">
      <c r="A3" s="3" t="s">
        <v>238</v>
      </c>
      <c r="B3" s="3" t="s">
        <v>239</v>
      </c>
      <c r="C3" s="3" t="s">
        <v>237</v>
      </c>
    </row>
    <row r="4" spans="1:3" s="3" customFormat="1" x14ac:dyDescent="0.25">
      <c r="A4" s="3" t="s">
        <v>30</v>
      </c>
      <c r="B4" s="3" t="s">
        <v>240</v>
      </c>
      <c r="C4" s="3" t="s">
        <v>237</v>
      </c>
    </row>
    <row r="5" spans="1:3" s="3" customFormat="1" x14ac:dyDescent="0.25">
      <c r="A5" s="3" t="s">
        <v>36</v>
      </c>
      <c r="B5" s="3" t="s">
        <v>241</v>
      </c>
      <c r="C5" s="3" t="s">
        <v>237</v>
      </c>
    </row>
    <row r="6" spans="1:3" s="3" customFormat="1" x14ac:dyDescent="0.25">
      <c r="A6" s="3" t="s">
        <v>30</v>
      </c>
      <c r="B6" s="3" t="s">
        <v>242</v>
      </c>
      <c r="C6" s="3" t="s">
        <v>237</v>
      </c>
    </row>
    <row r="7" spans="1:3" s="3" customFormat="1" x14ac:dyDescent="0.25">
      <c r="A7" s="3" t="s">
        <v>36</v>
      </c>
      <c r="B7" s="3" t="s">
        <v>243</v>
      </c>
      <c r="C7" s="3" t="s">
        <v>237</v>
      </c>
    </row>
    <row r="8" spans="1:3" s="3" customFormat="1" x14ac:dyDescent="0.25">
      <c r="A8" s="3" t="s">
        <v>86</v>
      </c>
      <c r="B8" s="3" t="s">
        <v>89</v>
      </c>
      <c r="C8" s="3" t="s">
        <v>244</v>
      </c>
    </row>
    <row r="9" spans="1:3" s="3" customFormat="1" x14ac:dyDescent="0.25">
      <c r="A9" s="3" t="s">
        <v>245</v>
      </c>
      <c r="B9" s="3" t="s">
        <v>246</v>
      </c>
      <c r="C9" s="3" t="s">
        <v>247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2" customFormat="1" x14ac:dyDescent="0.25">
      <c r="A1" s="22" t="s">
        <v>56</v>
      </c>
      <c r="B1" s="22" t="s">
        <v>73</v>
      </c>
      <c r="C1" s="22" t="s">
        <v>68</v>
      </c>
      <c r="D1" s="22" t="s">
        <v>66</v>
      </c>
      <c r="E1" s="22" t="s">
        <v>67</v>
      </c>
      <c r="F1" s="22" t="s">
        <v>96</v>
      </c>
      <c r="G1" s="22" t="s">
        <v>248</v>
      </c>
      <c r="H1" s="22" t="s">
        <v>249</v>
      </c>
      <c r="I1" s="22" t="s">
        <v>250</v>
      </c>
      <c r="J1" s="22" t="s">
        <v>251</v>
      </c>
      <c r="K1" s="22" t="s">
        <v>97</v>
      </c>
      <c r="L1" s="22" t="s">
        <v>252</v>
      </c>
      <c r="M1" s="22" t="s">
        <v>253</v>
      </c>
      <c r="N1" s="22" t="s">
        <v>254</v>
      </c>
      <c r="O1" s="22" t="s">
        <v>255</v>
      </c>
      <c r="P1" s="22" t="s">
        <v>256</v>
      </c>
      <c r="Q1" s="22" t="s">
        <v>257</v>
      </c>
      <c r="R1" s="22" t="s">
        <v>8</v>
      </c>
      <c r="S1" s="23" t="s">
        <v>102</v>
      </c>
      <c r="T1" s="22" t="s">
        <v>104</v>
      </c>
      <c r="U1" s="22" t="s">
        <v>258</v>
      </c>
      <c r="V1" s="22" t="s">
        <v>259</v>
      </c>
      <c r="W1" s="22" t="s">
        <v>260</v>
      </c>
      <c r="X1" s="22" t="s">
        <v>261</v>
      </c>
      <c r="Y1" s="22" t="s">
        <v>262</v>
      </c>
      <c r="Z1" s="22" t="s">
        <v>263</v>
      </c>
      <c r="AA1" s="22" t="s">
        <v>98</v>
      </c>
      <c r="AB1" s="22" t="s">
        <v>264</v>
      </c>
      <c r="AC1" s="22" t="s">
        <v>265</v>
      </c>
      <c r="AD1" s="22" t="s">
        <v>266</v>
      </c>
      <c r="AE1" s="22" t="s">
        <v>267</v>
      </c>
    </row>
    <row r="2" spans="1:31" s="3" customFormat="1" x14ac:dyDescent="0.25">
      <c r="A2" s="3" t="s">
        <v>85</v>
      </c>
      <c r="B2" s="3" t="s">
        <v>86</v>
      </c>
      <c r="C2" s="3" t="s">
        <v>93</v>
      </c>
      <c r="D2" s="3" t="s">
        <v>268</v>
      </c>
      <c r="E2" s="3" t="s">
        <v>89</v>
      </c>
      <c r="F2" s="3" t="s">
        <v>140</v>
      </c>
      <c r="G2" s="3" t="s">
        <v>269</v>
      </c>
      <c r="H2" s="3" t="s">
        <v>270</v>
      </c>
      <c r="I2" s="3">
        <v>2</v>
      </c>
      <c r="J2" s="3" t="s">
        <v>237</v>
      </c>
      <c r="K2" s="4">
        <v>46204</v>
      </c>
      <c r="L2" s="3" t="s">
        <v>271</v>
      </c>
      <c r="M2" s="3" t="s">
        <v>237</v>
      </c>
      <c r="N2" s="3" t="s">
        <v>237</v>
      </c>
      <c r="O2" s="3" t="s">
        <v>237</v>
      </c>
      <c r="P2" s="3" t="s">
        <v>237</v>
      </c>
      <c r="Q2" s="3" t="s">
        <v>237</v>
      </c>
      <c r="R2" s="3" t="s">
        <v>9</v>
      </c>
      <c r="S2" s="18">
        <v>-250</v>
      </c>
      <c r="T2" s="3" t="s">
        <v>94</v>
      </c>
      <c r="U2" s="3" t="s">
        <v>237</v>
      </c>
      <c r="V2" s="3" t="s">
        <v>237</v>
      </c>
      <c r="W2" s="3" t="s">
        <v>237</v>
      </c>
      <c r="X2" s="3" t="s">
        <v>237</v>
      </c>
      <c r="Y2" s="3" t="s">
        <v>237</v>
      </c>
      <c r="Z2" s="3" t="s">
        <v>237</v>
      </c>
      <c r="AA2" s="3" t="s">
        <v>108</v>
      </c>
      <c r="AB2" s="3" t="s">
        <v>237</v>
      </c>
      <c r="AC2" s="3" t="s">
        <v>237</v>
      </c>
      <c r="AD2" s="3" t="s">
        <v>237</v>
      </c>
      <c r="AE2" s="3" t="s">
        <v>272</v>
      </c>
    </row>
    <row r="3" spans="1:31" s="3" customFormat="1" x14ac:dyDescent="0.25">
      <c r="A3" s="3" t="s">
        <v>85</v>
      </c>
      <c r="B3" s="3" t="s">
        <v>86</v>
      </c>
      <c r="C3" s="3" t="s">
        <v>93</v>
      </c>
      <c r="D3" s="3" t="s">
        <v>268</v>
      </c>
      <c r="E3" s="3" t="s">
        <v>89</v>
      </c>
      <c r="F3" s="3" t="s">
        <v>107</v>
      </c>
      <c r="G3" s="3" t="s">
        <v>273</v>
      </c>
      <c r="H3" s="3" t="s">
        <v>16</v>
      </c>
      <c r="I3" s="3">
        <v>2</v>
      </c>
      <c r="J3" s="3" t="s">
        <v>237</v>
      </c>
      <c r="K3" s="4">
        <v>46204</v>
      </c>
      <c r="L3" s="3" t="s">
        <v>271</v>
      </c>
      <c r="M3" s="3" t="s">
        <v>237</v>
      </c>
      <c r="N3" s="3" t="s">
        <v>237</v>
      </c>
      <c r="O3" s="3" t="s">
        <v>237</v>
      </c>
      <c r="P3" s="3" t="s">
        <v>237</v>
      </c>
      <c r="Q3" s="3" t="s">
        <v>237</v>
      </c>
      <c r="R3" s="3" t="s">
        <v>9</v>
      </c>
      <c r="S3" s="18">
        <v>-250</v>
      </c>
      <c r="T3" s="3" t="s">
        <v>95</v>
      </c>
      <c r="U3" s="3" t="s">
        <v>237</v>
      </c>
      <c r="V3" s="3" t="s">
        <v>237</v>
      </c>
      <c r="W3" s="3" t="s">
        <v>237</v>
      </c>
      <c r="X3" s="3" t="s">
        <v>237</v>
      </c>
      <c r="Y3" s="3" t="s">
        <v>237</v>
      </c>
      <c r="Z3" s="3" t="s">
        <v>237</v>
      </c>
      <c r="AA3" s="3" t="s">
        <v>108</v>
      </c>
      <c r="AB3" s="3" t="s">
        <v>237</v>
      </c>
      <c r="AC3" s="3" t="s">
        <v>237</v>
      </c>
      <c r="AD3" s="3" t="s">
        <v>237</v>
      </c>
      <c r="AE3" s="3" t="s">
        <v>272</v>
      </c>
    </row>
    <row r="4" spans="1:31" s="3" customFormat="1" x14ac:dyDescent="0.25">
      <c r="A4" s="3" t="s">
        <v>106</v>
      </c>
      <c r="B4" s="3" t="s">
        <v>116</v>
      </c>
      <c r="C4" s="3" t="s">
        <v>117</v>
      </c>
      <c r="D4" s="3" t="s">
        <v>274</v>
      </c>
      <c r="E4" s="3" t="s">
        <v>110</v>
      </c>
      <c r="F4" s="3" t="s">
        <v>107</v>
      </c>
      <c r="G4" s="3" t="s">
        <v>247</v>
      </c>
      <c r="H4" s="3" t="s">
        <v>16</v>
      </c>
      <c r="I4" s="3">
        <v>3</v>
      </c>
      <c r="J4" s="3" t="s">
        <v>237</v>
      </c>
      <c r="K4" s="4">
        <v>46205</v>
      </c>
      <c r="L4" s="3" t="s">
        <v>109</v>
      </c>
      <c r="M4" s="3" t="s">
        <v>237</v>
      </c>
      <c r="N4" s="3" t="s">
        <v>237</v>
      </c>
      <c r="O4" s="3" t="s">
        <v>237</v>
      </c>
      <c r="P4" s="3" t="s">
        <v>237</v>
      </c>
      <c r="Q4" s="3" t="s">
        <v>237</v>
      </c>
      <c r="R4" s="3" t="s">
        <v>9</v>
      </c>
      <c r="S4" s="18">
        <v>80</v>
      </c>
      <c r="T4" s="3" t="s">
        <v>111</v>
      </c>
      <c r="U4" s="3" t="s">
        <v>237</v>
      </c>
      <c r="V4" s="3" t="s">
        <v>237</v>
      </c>
      <c r="W4" s="3" t="s">
        <v>237</v>
      </c>
      <c r="X4" s="3" t="s">
        <v>237</v>
      </c>
      <c r="Y4" s="3" t="s">
        <v>237</v>
      </c>
      <c r="Z4" s="3" t="s">
        <v>237</v>
      </c>
      <c r="AA4" s="3" t="s">
        <v>108</v>
      </c>
      <c r="AB4" s="3" t="s">
        <v>237</v>
      </c>
      <c r="AC4" s="3" t="s">
        <v>237</v>
      </c>
      <c r="AD4" s="3" t="s">
        <v>237</v>
      </c>
      <c r="AE4" s="3" t="s">
        <v>272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2" customFormat="1" x14ac:dyDescent="0.25">
      <c r="A1" s="22" t="s">
        <v>275</v>
      </c>
      <c r="B1" s="22" t="s">
        <v>276</v>
      </c>
      <c r="C1" s="22" t="s">
        <v>277</v>
      </c>
      <c r="D1" s="22" t="s">
        <v>82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2" customFormat="1" x14ac:dyDescent="0.25">
      <c r="A1" s="22" t="s">
        <v>278</v>
      </c>
      <c r="B1" s="22" t="s">
        <v>279</v>
      </c>
      <c r="C1" s="22" t="s">
        <v>280</v>
      </c>
      <c r="D1" s="22" t="s">
        <v>281</v>
      </c>
      <c r="E1" s="22" t="s">
        <v>282</v>
      </c>
      <c r="F1" s="22" t="s">
        <v>283</v>
      </c>
      <c r="G1" s="22" t="s">
        <v>284</v>
      </c>
      <c r="H1" s="23" t="s">
        <v>285</v>
      </c>
      <c r="I1" s="22" t="s">
        <v>286</v>
      </c>
      <c r="J1" s="22" t="s">
        <v>287</v>
      </c>
    </row>
    <row r="2" spans="1:10" s="3" customFormat="1" x14ac:dyDescent="0.25">
      <c r="A2" s="3" t="s">
        <v>269</v>
      </c>
      <c r="B2" s="3" t="s">
        <v>270</v>
      </c>
      <c r="C2" s="3">
        <v>2</v>
      </c>
      <c r="D2" s="4">
        <v>46204</v>
      </c>
      <c r="E2" s="3" t="s">
        <v>271</v>
      </c>
      <c r="F2" s="3" t="s">
        <v>288</v>
      </c>
      <c r="G2" s="3" t="s">
        <v>237</v>
      </c>
      <c r="H2" s="18">
        <v>-250</v>
      </c>
      <c r="I2" s="3" t="s">
        <v>289</v>
      </c>
      <c r="J2" s="3" t="s">
        <v>237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2" customFormat="1" x14ac:dyDescent="0.25">
      <c r="A1" s="22" t="s">
        <v>278</v>
      </c>
      <c r="B1" s="22" t="s">
        <v>279</v>
      </c>
      <c r="C1" s="22" t="s">
        <v>280</v>
      </c>
      <c r="D1" s="22" t="s">
        <v>281</v>
      </c>
      <c r="E1" s="22" t="s">
        <v>282</v>
      </c>
      <c r="F1" s="22" t="s">
        <v>283</v>
      </c>
      <c r="G1" s="22" t="s">
        <v>284</v>
      </c>
      <c r="H1" s="23" t="s">
        <v>285</v>
      </c>
      <c r="I1" s="22" t="s">
        <v>286</v>
      </c>
      <c r="J1" s="22" t="s">
        <v>287</v>
      </c>
    </row>
    <row r="2" spans="1:10" s="3" customFormat="1" x14ac:dyDescent="0.25">
      <c r="A2" s="3" t="s">
        <v>273</v>
      </c>
      <c r="B2" s="3" t="s">
        <v>16</v>
      </c>
      <c r="C2" s="3">
        <v>2</v>
      </c>
      <c r="D2" s="4">
        <v>46204</v>
      </c>
      <c r="E2" s="3" t="s">
        <v>271</v>
      </c>
      <c r="F2" s="3" t="s">
        <v>288</v>
      </c>
      <c r="G2" s="3" t="s">
        <v>237</v>
      </c>
      <c r="H2" s="18">
        <v>-250</v>
      </c>
      <c r="I2" s="3" t="s">
        <v>290</v>
      </c>
      <c r="J2" s="3" t="s">
        <v>237</v>
      </c>
    </row>
    <row r="3" spans="1:10" s="3" customFormat="1" x14ac:dyDescent="0.25">
      <c r="A3" s="3" t="s">
        <v>247</v>
      </c>
      <c r="B3" s="3" t="s">
        <v>16</v>
      </c>
      <c r="C3" s="3">
        <v>3</v>
      </c>
      <c r="D3" s="4">
        <v>46205</v>
      </c>
      <c r="E3" s="3" t="s">
        <v>109</v>
      </c>
      <c r="F3" s="3" t="s">
        <v>291</v>
      </c>
      <c r="G3" s="3" t="s">
        <v>237</v>
      </c>
      <c r="H3" s="18">
        <v>80</v>
      </c>
      <c r="I3" s="3" t="s">
        <v>292</v>
      </c>
      <c r="J3" s="3" t="s">
        <v>237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3" customWidth="1"/>
  </cols>
  <sheetData>
    <row r="1" ht="28" customHeight="1" spans="1:4" s="22" customFormat="1" x14ac:dyDescent="0.25">
      <c r="A1" s="22" t="s">
        <v>293</v>
      </c>
      <c r="B1" s="22" t="s">
        <v>280</v>
      </c>
      <c r="C1" s="22" t="s">
        <v>294</v>
      </c>
      <c r="D1" s="22" t="s">
        <v>295</v>
      </c>
    </row>
    <row r="2" spans="1:4" s="3" customFormat="1" x14ac:dyDescent="0.25">
      <c r="A2" s="3" t="s">
        <v>296</v>
      </c>
      <c r="B2" s="3">
        <v>1</v>
      </c>
      <c r="C2" s="3" t="s">
        <v>297</v>
      </c>
      <c r="D2" s="3" t="s">
        <v>298</v>
      </c>
    </row>
    <row r="3" spans="1:4" s="3" customFormat="1" x14ac:dyDescent="0.25">
      <c r="A3" s="3" t="s">
        <v>296</v>
      </c>
      <c r="B3" s="3">
        <v>3</v>
      </c>
      <c r="C3" s="3" t="s">
        <v>299</v>
      </c>
      <c r="D3" s="3" t="s">
        <v>300</v>
      </c>
    </row>
    <row r="4" spans="1:4" s="3" customFormat="1" x14ac:dyDescent="0.25">
      <c r="A4" s="3" t="s">
        <v>296</v>
      </c>
      <c r="B4" s="3">
        <v>4</v>
      </c>
      <c r="C4" s="3" t="s">
        <v>301</v>
      </c>
      <c r="D4" s="3" t="s">
        <v>302</v>
      </c>
    </row>
    <row r="5" spans="1:4" s="3" customFormat="1" x14ac:dyDescent="0.25">
      <c r="A5" s="3" t="s">
        <v>303</v>
      </c>
      <c r="B5" s="3">
        <v>1</v>
      </c>
      <c r="C5" s="3" t="s">
        <v>297</v>
      </c>
      <c r="D5" s="3" t="s">
        <v>304</v>
      </c>
    </row>
  </sheetData>
  <autoFilter ref="A1:D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2" customFormat="1" x14ac:dyDescent="0.25">
      <c r="A1" s="22" t="s">
        <v>305</v>
      </c>
      <c r="B1" s="22" t="s">
        <v>306</v>
      </c>
    </row>
    <row r="2" spans="1:2" s="3" customFormat="1" x14ac:dyDescent="0.25">
      <c r="A2" s="3" t="s">
        <v>307</v>
      </c>
      <c r="B2" s="3" t="s">
        <v>308</v>
      </c>
    </row>
    <row r="3" spans="1:2" s="3" customFormat="1" x14ac:dyDescent="0.25">
      <c r="A3" s="3" t="s">
        <v>309</v>
      </c>
      <c r="B3" s="3" t="s">
        <v>310</v>
      </c>
    </row>
    <row r="4" spans="1:2" s="3" customFormat="1" x14ac:dyDescent="0.25">
      <c r="A4" s="3" t="s">
        <v>311</v>
      </c>
      <c r="B4" s="3" t="s">
        <v>312</v>
      </c>
    </row>
    <row r="5" spans="1:2" s="3" customFormat="1" x14ac:dyDescent="0.25">
      <c r="A5" s="3" t="s">
        <v>313</v>
      </c>
      <c r="B5" s="3" t="s">
        <v>314</v>
      </c>
    </row>
    <row r="6" spans="1:2" s="3" customFormat="1" x14ac:dyDescent="0.25">
      <c r="A6" s="3" t="s">
        <v>315</v>
      </c>
      <c r="B6" s="3" t="s">
        <v>314</v>
      </c>
    </row>
    <row r="7" spans="1:2" s="3" customFormat="1" x14ac:dyDescent="0.25">
      <c r="A7" s="3" t="s">
        <v>316</v>
      </c>
      <c r="B7" s="3" t="s">
        <v>317</v>
      </c>
    </row>
    <row r="8" spans="1:2" s="3" customFormat="1" x14ac:dyDescent="0.25">
      <c r="A8" s="3" t="s">
        <v>318</v>
      </c>
      <c r="B8" s="3" t="s">
        <v>319</v>
      </c>
    </row>
    <row r="9" spans="1:2" s="3" customFormat="1" x14ac:dyDescent="0.25">
      <c r="A9" s="3" t="s">
        <v>320</v>
      </c>
      <c r="B9" s="3" t="s">
        <v>321</v>
      </c>
    </row>
    <row r="10" spans="1:2" s="3" customFormat="1" x14ac:dyDescent="0.25">
      <c r="A10" s="3" t="s">
        <v>322</v>
      </c>
      <c r="B10" s="3" t="s">
        <v>321</v>
      </c>
    </row>
    <row r="11" spans="1:2" s="3" customFormat="1" x14ac:dyDescent="0.25">
      <c r="A11" s="3" t="s">
        <v>323</v>
      </c>
      <c r="B11" s="3" t="s">
        <v>324</v>
      </c>
    </row>
    <row r="12" spans="1:2" s="3" customFormat="1" x14ac:dyDescent="0.25">
      <c r="A12" s="3" t="s">
        <v>325</v>
      </c>
      <c r="B12" s="3" t="s">
        <v>326</v>
      </c>
    </row>
    <row r="13" spans="1:2" s="3" customFormat="1" x14ac:dyDescent="0.25">
      <c r="A13" s="3" t="s">
        <v>327</v>
      </c>
      <c r="B13" s="3" t="s">
        <v>328</v>
      </c>
    </row>
    <row r="14" spans="1:2" s="3" customFormat="1" x14ac:dyDescent="0.25">
      <c r="A14" s="3" t="s">
        <v>329</v>
      </c>
      <c r="B14" s="3" t="s">
        <v>330</v>
      </c>
    </row>
    <row r="15" spans="1:2" s="3" customFormat="1" x14ac:dyDescent="0.25">
      <c r="A15" s="3" t="s">
        <v>331</v>
      </c>
      <c r="B15" s="3" t="s">
        <v>237</v>
      </c>
    </row>
    <row r="16" spans="1:2" s="3" customFormat="1" x14ac:dyDescent="0.25">
      <c r="A16" s="3" t="s">
        <v>332</v>
      </c>
      <c r="B16" s="3" t="s">
        <v>333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2" customFormat="1" x14ac:dyDescent="0.25">
      <c r="A1" s="22" t="s">
        <v>280</v>
      </c>
      <c r="B1" s="22" t="s">
        <v>334</v>
      </c>
      <c r="C1" s="22" t="s">
        <v>335</v>
      </c>
      <c r="D1" s="22" t="s">
        <v>336</v>
      </c>
      <c r="E1" s="22" t="s">
        <v>337</v>
      </c>
    </row>
    <row r="2" spans="1:5" s="3" customFormat="1" x14ac:dyDescent="0.25">
      <c r="A2" s="3">
        <v>1</v>
      </c>
      <c r="B2" s="3" t="s">
        <v>99</v>
      </c>
      <c r="C2" s="3" t="s">
        <v>97</v>
      </c>
      <c r="D2" s="3" t="s">
        <v>338</v>
      </c>
      <c r="E2" s="3" t="s">
        <v>339</v>
      </c>
    </row>
    <row r="3" spans="1:5" s="3" customFormat="1" x14ac:dyDescent="0.25">
      <c r="A3" s="3">
        <v>2</v>
      </c>
      <c r="B3" s="3" t="s">
        <v>271</v>
      </c>
      <c r="C3" s="3" t="s">
        <v>340</v>
      </c>
      <c r="D3" s="3" t="s">
        <v>289</v>
      </c>
      <c r="E3" s="3" t="s">
        <v>341</v>
      </c>
    </row>
    <row r="4" spans="1:5" s="3" customFormat="1" x14ac:dyDescent="0.25">
      <c r="A4" s="3">
        <v>3</v>
      </c>
      <c r="B4" s="3" t="s">
        <v>342</v>
      </c>
      <c r="C4" s="3" t="s">
        <v>237</v>
      </c>
      <c r="D4" s="3" t="s">
        <v>237</v>
      </c>
      <c r="E4" s="3" t="s">
        <v>237</v>
      </c>
    </row>
    <row r="5" spans="1:5" s="3" customFormat="1" x14ac:dyDescent="0.25">
      <c r="A5" s="3">
        <v>4</v>
      </c>
      <c r="B5" s="3" t="s">
        <v>343</v>
      </c>
      <c r="C5" s="3" t="s">
        <v>237</v>
      </c>
      <c r="D5" s="3" t="s">
        <v>237</v>
      </c>
      <c r="E5" s="3" t="s">
        <v>237</v>
      </c>
    </row>
  </sheetData>
  <autoFilter ref="A1:E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2" customFormat="1" x14ac:dyDescent="0.25">
      <c r="A1" s="22" t="s">
        <v>280</v>
      </c>
      <c r="B1" s="22" t="s">
        <v>334</v>
      </c>
      <c r="C1" s="22" t="s">
        <v>335</v>
      </c>
      <c r="D1" s="22" t="s">
        <v>336</v>
      </c>
      <c r="E1" s="22" t="s">
        <v>337</v>
      </c>
    </row>
    <row r="2" spans="1:5" s="3" customFormat="1" x14ac:dyDescent="0.25">
      <c r="A2" s="3">
        <v>1</v>
      </c>
      <c r="B2" s="3" t="s">
        <v>99</v>
      </c>
      <c r="C2" s="3" t="s">
        <v>97</v>
      </c>
      <c r="D2" s="3" t="s">
        <v>102</v>
      </c>
      <c r="E2" s="3" t="s">
        <v>8</v>
      </c>
    </row>
    <row r="3" spans="1:5" s="3" customFormat="1" x14ac:dyDescent="0.25">
      <c r="A3" s="3">
        <v>2</v>
      </c>
      <c r="B3" s="3" t="s">
        <v>271</v>
      </c>
      <c r="C3" s="3" t="s">
        <v>340</v>
      </c>
      <c r="D3" s="3" t="s">
        <v>290</v>
      </c>
      <c r="E3" s="3" t="s">
        <v>9</v>
      </c>
    </row>
    <row r="4" spans="1:5" s="3" customFormat="1" x14ac:dyDescent="0.25">
      <c r="A4" s="3">
        <v>3</v>
      </c>
      <c r="B4" s="3" t="s">
        <v>109</v>
      </c>
      <c r="C4" s="3" t="s">
        <v>344</v>
      </c>
      <c r="D4" s="3" t="s">
        <v>292</v>
      </c>
      <c r="E4" s="3" t="s">
        <v>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2" customFormat="1" x14ac:dyDescent="0.25">
      <c r="A1" s="22" t="s">
        <v>293</v>
      </c>
      <c r="B1" s="22" t="s">
        <v>345</v>
      </c>
      <c r="C1" s="22" t="s">
        <v>346</v>
      </c>
      <c r="D1" s="22" t="s">
        <v>347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2" customFormat="1" x14ac:dyDescent="0.25">
      <c r="A1" s="22" t="s">
        <v>348</v>
      </c>
      <c r="B1" s="22" t="s">
        <v>349</v>
      </c>
    </row>
    <row r="2" spans="1:2" s="3" customFormat="1" x14ac:dyDescent="0.25">
      <c r="A2" s="3" t="s">
        <v>350</v>
      </c>
      <c r="B2" s="3" t="s">
        <v>351</v>
      </c>
    </row>
    <row r="3" spans="1:2" s="3" customFormat="1" x14ac:dyDescent="0.25">
      <c r="A3" s="3" t="s">
        <v>352</v>
      </c>
      <c r="B3" s="3" t="s">
        <v>141</v>
      </c>
    </row>
    <row r="4" spans="1:2" s="3" customFormat="1" x14ac:dyDescent="0.25">
      <c r="A4" s="3" t="s">
        <v>353</v>
      </c>
      <c r="B4" s="3" t="s">
        <v>354</v>
      </c>
    </row>
    <row r="5" spans="1:2" s="3" customFormat="1" x14ac:dyDescent="0.25">
      <c r="A5" s="3" t="s">
        <v>355</v>
      </c>
      <c r="B5" s="4">
        <v>46299.340112199076</v>
      </c>
    </row>
    <row r="6" spans="1:2" s="3" customFormat="1" x14ac:dyDescent="0.25">
      <c r="A6" s="3" t="s">
        <v>356</v>
      </c>
      <c r="B6" s="3" t="s">
        <v>357</v>
      </c>
    </row>
    <row r="7" spans="1:2" s="3" customFormat="1" x14ac:dyDescent="0.25">
      <c r="A7" s="3" t="s">
        <v>358</v>
      </c>
      <c r="B7" s="3" t="s">
        <v>359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2026-10-04T08:09:45Z</dcterms:created>
  <dcterms:modified xsi:type="dcterms:W3CDTF">2026-10-04T08:09:45Z</dcterms:modified>
</cp:coreProperties>
</file>