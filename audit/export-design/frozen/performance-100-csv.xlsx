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000" windowHeight="10000" firstSheet="0" activeTab="0"/>
  </bookViews>
  <sheets>
    <sheet sheetId="1" name="Summary" state="visible" r:id="rId4"/>
    <sheet sheetId="2" name="Matches" state="visible" r:id="rId5"/>
    <sheet sheetId="3" name="Needs Review" state="visible" r:id="rId6"/>
    <sheet sheetId="4" name="Unmatched" state="visible" r:id="rId7"/>
    <sheet sheetId="5" name="Reconciliation Bridge" state="visible" r:id="rId8"/>
    <sheet sheetId="6" name="Review Sign-off" state="visible" r:id="rId9"/>
    <sheet sheetId="7" name="Diagnostics" state="hidden" r:id="rId10"/>
    <sheet sheetId="8" name="Match Evidence" state="hidden" r:id="rId11"/>
    <sheet sheetId="9" name="Review History" state="hidden" r:id="rId12"/>
    <sheet sheetId="10" name="Supplier transactions" state="hidden" r:id="rId13"/>
    <sheet sheetId="11" name="Ledger transactions" state="hidden" r:id="rId14"/>
    <sheet sheetId="12" name="Excluded Rows" state="hidden" r:id="rId15"/>
    <sheet sheetId="13" name="Run Settings" state="hidden" r:id="rId16"/>
    <sheet sheetId="14" name="Parsed Supplier Source" state="hidden" r:id="rId17"/>
    <sheet sheetId="15" name="Parsed Ledger Source" state="hidden" r:id="rId18"/>
    <sheet sheetId="16" name="PDF Row Origins" state="hidden" r:id="rId19"/>
    <sheet sheetId="17" name="Export Metadata" state="hidden" r:id="rId20"/>
  </sheets>
  <definedNames>
    <definedName name="_xlnm.Print_Titles" localSheetId="0">'Summary'!$1:$1</definedName>
    <definedName name="_xlnm.Print_Titles" localSheetId="1">'Matches'!$1:$1</definedName>
    <definedName name="_xlnm.Print_Titles" localSheetId="2">'Needs Review'!$1:$1</definedName>
    <definedName name="_xlnm.Print_Titles" localSheetId="3">'Unmatched'!$1:$1</definedName>
    <definedName name="_xlnm.Print_Titles" localSheetId="4">'Reconciliation Bridge'!$1:$1</definedName>
    <definedName name="_xlnm.Print_Titles" localSheetId="5">'Review Sign-off'!$1:$1</definedName>
  </definedNames>
  <calcPr calcId="171027" fullCalcOnLoad="1"/>
</workbook>
</file>

<file path=xl/sharedStrings.xml><?xml version="1.0" encoding="utf-8"?>
<sst xmlns="http://schemas.openxmlformats.org/spreadsheetml/2006/main" count="8526" uniqueCount="1015">
  <si>
    <t>Field / الحقل</t>
  </si>
  <si>
    <t>Value / القيمة</t>
  </si>
  <si>
    <t>Workbook Mode</t>
  </si>
  <si>
    <t>Verified accounting snapshot for review; not a declaration of full reconciliation.</t>
  </si>
  <si>
    <t>Supplier</t>
  </si>
  <si>
    <t>Synthetic Performance Vendor</t>
  </si>
  <si>
    <t>Entity</t>
  </si>
  <si>
    <t>Synthetic Performance Buyer</t>
  </si>
  <si>
    <t>Currency</t>
  </si>
  <si>
    <t>SAR</t>
  </si>
  <si>
    <t>Supplier Period Start</t>
  </si>
  <si>
    <t>Supplier Period End</t>
  </si>
  <si>
    <t>Ledger Period Start</t>
  </si>
  <si>
    <t>Ledger Period End</t>
  </si>
  <si>
    <t>Cut-off Date</t>
  </si>
  <si>
    <t>Supplier Source Type</t>
  </si>
  <si>
    <t>CSV</t>
  </si>
  <si>
    <t>Ledger Source Type</t>
  </si>
  <si>
    <t>Supplier Statement Account</t>
  </si>
  <si>
    <t>PERF-ACCOUNT</t>
  </si>
  <si>
    <t>Supplier Code</t>
  </si>
  <si>
    <t>AP Control Account</t>
  </si>
  <si>
    <t>Reviewer Status</t>
  </si>
  <si>
    <t>Pending review</t>
  </si>
  <si>
    <t>Supplier Opening Balance</t>
  </si>
  <si>
    <t>Ledger Opening Balance</t>
  </si>
  <si>
    <t>Supplier Closing Balance</t>
  </si>
  <si>
    <t>Ledger Closing Balance</t>
  </si>
  <si>
    <t>Opening Difference</t>
  </si>
  <si>
    <t>Closing Difference</t>
  </si>
  <si>
    <t>Supplier Balance Arithmetic</t>
  </si>
  <si>
    <t>BALANCE_ROW_NOT_FOUND</t>
  </si>
  <si>
    <t>Ledger Balance Arithmetic</t>
  </si>
  <si>
    <t>Supplier Period Status</t>
  </si>
  <si>
    <t>PERIOD_NOT_DETECTED</t>
  </si>
  <si>
    <t>Ledger Period Status</t>
  </si>
  <si>
    <t>Coverage Confirmation Status</t>
  </si>
  <si>
    <t>PERIOD_COVERAGE_UNCONFIRMED</t>
  </si>
  <si>
    <t>Auto Matched Cases</t>
  </si>
  <si>
    <t>Matched Source Rows</t>
  </si>
  <si>
    <t>Needs Review Cases</t>
  </si>
  <si>
    <t>Needs Review Source Rows</t>
  </si>
  <si>
    <t>Unmatched Cases</t>
  </si>
  <si>
    <t>Unmatched Source Rows</t>
  </si>
  <si>
    <t>Manual Matches</t>
  </si>
  <si>
    <t>Rejected Candidates</t>
  </si>
  <si>
    <t>Net Bridge Adjustments</t>
  </si>
  <si>
    <t>Adjusted Supplier Balance</t>
  </si>
  <si>
    <t>Residual</t>
  </si>
  <si>
    <t>Bridge Status</t>
  </si>
  <si>
    <t>Balance bridge prerequisites incomplete</t>
  </si>
  <si>
    <t>Review Cases</t>
  </si>
  <si>
    <t>Open Needs Review</t>
  </si>
  <si>
    <t>Review Sign-off</t>
  </si>
  <si>
    <t>Open Review Sign-off</t>
  </si>
  <si>
    <t>Audit Metadata</t>
  </si>
  <si>
    <t>Version, hashes and export time (hidden audit sheet)</t>
  </si>
  <si>
    <t>Case ID</t>
  </si>
  <si>
    <t>Match Type</t>
  </si>
  <si>
    <t>Supplier Date</t>
  </si>
  <si>
    <t>Supplier References</t>
  </si>
  <si>
    <t>Supplier Amount</t>
  </si>
  <si>
    <t>Ledger Date</t>
  </si>
  <si>
    <t>Ledger References</t>
  </si>
  <si>
    <t>Ledger Amount</t>
  </si>
  <si>
    <t>Group Members</t>
  </si>
  <si>
    <t>Date Gap</t>
  </si>
  <si>
    <t>Rule</t>
  </si>
  <si>
    <t>Evidence</t>
  </si>
  <si>
    <t>Status</t>
  </si>
  <si>
    <t>Reviewer Note</t>
  </si>
  <si>
    <t>Supplier Source Rows</t>
  </si>
  <si>
    <t>Ledger Source Rows</t>
  </si>
  <si>
    <t>Match Decision</t>
  </si>
  <si>
    <t>Supplier Source 1</t>
  </si>
  <si>
    <t>Supplier Source 2</t>
  </si>
  <si>
    <t>Supplier Source 3</t>
  </si>
  <si>
    <t>Ledger Source 1</t>
  </si>
  <si>
    <t>Ledger Source 2</t>
  </si>
  <si>
    <t>Ledger Source 3</t>
  </si>
  <si>
    <t>CASE-CBB37842</t>
  </si>
  <si>
    <t>1:1</t>
  </si>
  <si>
    <t>ONE-100000</t>
  </si>
  <si>
    <t>1 supplier / 1 ledger</t>
  </si>
  <si>
    <t>EXACT_REFERENCE_SIGNED_AMOUNT_UNIQUE_V2</t>
  </si>
  <si>
    <t>المرجع الأصلي مطابق بكل رموزه، وغير مكرر في أي طرف. المبلغ وإشارته متطابقان، وفرق التاريخ 0 يوم.</t>
  </si>
  <si>
    <t>Matched</t>
  </si>
  <si>
    <t>Auto</t>
  </si>
  <si>
    <t>supplier · CSV · row 16</t>
  </si>
  <si>
    <t>ledger · CSV · row 16</t>
  </si>
  <si>
    <t>CASE-E594D8A8</t>
  </si>
  <si>
    <t>ONE-100010</t>
  </si>
  <si>
    <t>supplier · CSV · row 26</t>
  </si>
  <si>
    <t>ledger · CSV · row 26</t>
  </si>
  <si>
    <t>CASE-A3A9BB2A</t>
  </si>
  <si>
    <t>ONE-100020</t>
  </si>
  <si>
    <t>supplier · CSV · row 36</t>
  </si>
  <si>
    <t>ledger · CSV · row 36</t>
  </si>
  <si>
    <t>CASE-8DE5880C</t>
  </si>
  <si>
    <t>ONE-100030</t>
  </si>
  <si>
    <t>supplier · CSV · row 46</t>
  </si>
  <si>
    <t>ledger · CSV · row 46</t>
  </si>
  <si>
    <t>CASE-A4B56A7A</t>
  </si>
  <si>
    <t>ONE-100040</t>
  </si>
  <si>
    <t>supplier · CSV · row 56</t>
  </si>
  <si>
    <t>ledger · CSV · row 56</t>
  </si>
  <si>
    <t>CASE-4F9D3438</t>
  </si>
  <si>
    <t>ONE-100050</t>
  </si>
  <si>
    <t>supplier · CSV · row 66</t>
  </si>
  <si>
    <t>ledger · CSV · row 66</t>
  </si>
  <si>
    <t>CASE-CF66B142</t>
  </si>
  <si>
    <t>ONE-100060</t>
  </si>
  <si>
    <t>supplier · CSV · row 76</t>
  </si>
  <si>
    <t>ledger · CSV · row 76</t>
  </si>
  <si>
    <t>CASE-324A6A04</t>
  </si>
  <si>
    <t>ONE-100070</t>
  </si>
  <si>
    <t>supplier · CSV · row 86</t>
  </si>
  <si>
    <t>ledger · CSV · row 86</t>
  </si>
  <si>
    <t>CASE-1A0CE4C2</t>
  </si>
  <si>
    <t>ONE-100080</t>
  </si>
  <si>
    <t>supplier · CSV · row 96</t>
  </si>
  <si>
    <t>ledger · CSV · row 96</t>
  </si>
  <si>
    <t>CASE-AA10EC18</t>
  </si>
  <si>
    <t>ONE-100090</t>
  </si>
  <si>
    <t>supplier · CSV · row 106</t>
  </si>
  <si>
    <t>ledger · CSV · row 106</t>
  </si>
  <si>
    <t>CASE-C25A8DAC</t>
  </si>
  <si>
    <t>1:M</t>
  </si>
  <si>
    <t>INV-100000</t>
  </si>
  <si>
    <t>1 supplier / 3 ledger</t>
  </si>
  <si>
    <t>EXACT_REFERENCE_GROUP_TOTAL_V1</t>
  </si>
  <si>
    <t xml:space="preserve">مطابقة تجميعية مثبتة: المرجع INV-100000 مطابق؛ 1 حركة مورد و3 حركة دفتر؛ إجمالي كل طرف 6,750.00 SAR.
نوع المستند Invoice متسق، وجميع حركات المجموعة في تاريخ واحد ضمن فرق الأيام المسموح للمطابقة؛ أمر شراء مشترك PO-100000؛ سند المجموعة AP-100000. المجموعة كاملة وفريدة، ولم يُبحث عن مجموعات جزئية.</t>
  </si>
  <si>
    <t>supplier · CSV · row 7</t>
  </si>
  <si>
    <t>ledger · CSV · row 7</t>
  </si>
  <si>
    <t>ledger · CSV · row 8</t>
  </si>
  <si>
    <t>ledger · CSV · row 9</t>
  </si>
  <si>
    <t>CASE-48BF761A</t>
  </si>
  <si>
    <t>M:1</t>
  </si>
  <si>
    <t>INV-100000B</t>
  </si>
  <si>
    <t>3 supplier / 1 ledger</t>
  </si>
  <si>
    <t xml:space="preserve">مطابقة تجميعية مثبتة: المرجع INV-100000B مطابق؛ 3 حركة مورد و1 حركة دفتر؛ إجمالي كل طرف 6,750.00 SAR.
نوع المستند Invoice متسق، وجميع حركات المجموعة في تاريخ واحد ضمن فرق الأيام المسموح للمطابقة؛ أمر شراء مشترك PO-100000B؛ سند المجموعة AP-100000B. المجموعة كاملة وفريدة، ولم يُبحث عن مجموعات جزئية.</t>
  </si>
  <si>
    <t>supplier · CSV · row 8</t>
  </si>
  <si>
    <t>supplier · CSV · row 9</t>
  </si>
  <si>
    <t>supplier · CSV · row 10</t>
  </si>
  <si>
    <t>ledger · CSV · row 10</t>
  </si>
  <si>
    <t>CASE-C63DAABE</t>
  </si>
  <si>
    <t>BANK-100000</t>
  </si>
  <si>
    <t>1 supplier / 2 ledger</t>
  </si>
  <si>
    <t>EXPLICIT_PAYMENT_IDENTITY_GROUP_TOTAL_V1</t>
  </si>
  <si>
    <t xml:space="preserve">مطابقة تجميعية مثبتة: المرجع BANK-100000 مطابق؛ 1 حركة مورد و2 حركة دفتر؛ إجمالي كل طرف -300.00 SAR.
مطابقة دفعة بين الكشفين وليست تخصيصًا لفواتير. هوية التحويل البنكي BANK-100000 واردة في عمود صريح لكل عضو. نوع المستند دفعة في الطرفين، وحركات الطرف المجمع في تاريخ واحد ضمن فرق الأيام المسموح، والإشارة والعملة متسقتان. شملت المقارنة كامل مجموعة الهوية دون صف مستبعد أو هوية منافسة؛ لم يُبحث عن مجموعات جزئية.</t>
  </si>
  <si>
    <t>supplier · CSV · row 11</t>
  </si>
  <si>
    <t>ledger · CSV · row 11</t>
  </si>
  <si>
    <t>ledger · CSV · row 12</t>
  </si>
  <si>
    <t>CASE-08419788</t>
  </si>
  <si>
    <t>BANK-100000B</t>
  </si>
  <si>
    <t>2 supplier / 1 ledger</t>
  </si>
  <si>
    <t xml:space="preserve">مطابقة تجميعية مثبتة: المرجع BANK-100000B مطابق؛ 2 حركة مورد و1 حركة دفتر؛ إجمالي كل طرف -300.00 SAR.
مطابقة دفعة بين الكشفين وليست تخصيصًا لفواتير. هوية التحويل البنكي BANK-100000B واردة في عمود صريح لكل عضو. نوع المستند دفعة في الطرفين، وحركات الطرف المجمع في تاريخ واحد ضمن فرق الأيام المسموح، والإشارة والعملة متسقتان. شملت المقارنة كامل مجموعة الهوية دون صف مستبعد أو هوية منافسة؛ لم يُبحث عن مجموعات جزئية.</t>
  </si>
  <si>
    <t>supplier · CSV · row 12</t>
  </si>
  <si>
    <t>supplier · CSV · row 13</t>
  </si>
  <si>
    <t>ledger · CSV · row 13</t>
  </si>
  <si>
    <t>CASE-67D95A30</t>
  </si>
  <si>
    <t>INV-100010</t>
  </si>
  <si>
    <t xml:space="preserve">مطابقة تجميعية مثبتة: المرجع INV-100010 مطابق؛ 1 حركة مورد و3 حركة دفتر؛ إجمالي كل طرف 6,750.00 SAR.
نوع المستند Invoice متسق، وجميع حركات المجموعة في تاريخ واحد ضمن فرق الأيام المسموح للمطابقة؛ أمر شراء مشترك PO-100010؛ سند المجموعة AP-100010. المجموعة كاملة وفريدة، ولم يُبحث عن مجموعات جزئية.</t>
  </si>
  <si>
    <t>supplier · CSV · row 17</t>
  </si>
  <si>
    <t>ledger · CSV · row 17</t>
  </si>
  <si>
    <t>ledger · CSV · row 18</t>
  </si>
  <si>
    <t>ledger · CSV · row 19</t>
  </si>
  <si>
    <t>CASE-C99B312A</t>
  </si>
  <si>
    <t>INV-100010B</t>
  </si>
  <si>
    <t xml:space="preserve">مطابقة تجميعية مثبتة: المرجع INV-100010B مطابق؛ 3 حركة مورد و1 حركة دفتر؛ إجمالي كل طرف 6,750.00 SAR.
نوع المستند Invoice متسق، وجميع حركات المجموعة في تاريخ واحد ضمن فرق الأيام المسموح للمطابقة؛ أمر شراء مشترك PO-100010B؛ سند المجموعة AP-100010B. المجموعة كاملة وفريدة، ولم يُبحث عن مجموعات جزئية.</t>
  </si>
  <si>
    <t>supplier · CSV · row 18</t>
  </si>
  <si>
    <t>supplier · CSV · row 19</t>
  </si>
  <si>
    <t>supplier · CSV · row 20</t>
  </si>
  <si>
    <t>ledger · CSV · row 20</t>
  </si>
  <si>
    <t>CASE-6B88D1C8</t>
  </si>
  <si>
    <t>BANK-100010</t>
  </si>
  <si>
    <t xml:space="preserve">مطابقة تجميعية مثبتة: المرجع BANK-100010 مطابق؛ 1 حركة مورد و2 حركة دفتر؛ إجمالي كل طرف -300.00 SAR.
مطابقة دفعة بين الكشفين وليست تخصيصًا لفواتير. هوية التحويل البنكي BANK-100010 واردة في عمود صريح لكل عضو. نوع المستند دفعة في الطرفين، وحركات الطرف المجمع في تاريخ واحد ضمن فرق الأيام المسموح، والإشارة والعملة متسقتان. شملت المقارنة كامل مجموعة الهوية دون صف مستبعد أو هوية منافسة؛ لم يُبحث عن مجموعات جزئية.</t>
  </si>
  <si>
    <t>supplier · CSV · row 21</t>
  </si>
  <si>
    <t>ledger · CSV · row 21</t>
  </si>
  <si>
    <t>ledger · CSV · row 22</t>
  </si>
  <si>
    <t>CASE-E83DC87C</t>
  </si>
  <si>
    <t>BANK-100010B</t>
  </si>
  <si>
    <t xml:space="preserve">مطابقة تجميعية مثبتة: المرجع BANK-100010B مطابق؛ 2 حركة مورد و1 حركة دفتر؛ إجمالي كل طرف -300.00 SAR.
مطابقة دفعة بين الكشفين وليست تخصيصًا لفواتير. هوية التحويل البنكي BANK-100010B واردة في عمود صريح لكل عضو. نوع المستند دفعة في الطرفين، وحركات الطرف المجمع في تاريخ واحد ضمن فرق الأيام المسموح، والإشارة والعملة متسقتان. شملت المقارنة كامل مجموعة الهوية دون صف مستبعد أو هوية منافسة؛ لم يُبحث عن مجموعات جزئية.</t>
  </si>
  <si>
    <t>supplier · CSV · row 22</t>
  </si>
  <si>
    <t>supplier · CSV · row 23</t>
  </si>
  <si>
    <t>ledger · CSV · row 23</t>
  </si>
  <si>
    <t>CASE-3AABD0DC</t>
  </si>
  <si>
    <t>INV-100020</t>
  </si>
  <si>
    <t xml:space="preserve">مطابقة تجميعية مثبتة: المرجع INV-100020 مطابق؛ 1 حركة مورد و3 حركة دفتر؛ إجمالي كل طرف 6,750.00 SAR.
نوع المستند Invoice متسق، وجميع حركات المجموعة في تاريخ واحد ضمن فرق الأيام المسموح للمطابقة؛ أمر شراء مشترك PO-100020؛ سند المجموعة AP-100020. المجموعة كاملة وفريدة، ولم يُبحث عن مجموعات جزئية.</t>
  </si>
  <si>
    <t>supplier · CSV · row 27</t>
  </si>
  <si>
    <t>ledger · CSV · row 27</t>
  </si>
  <si>
    <t>ledger · CSV · row 28</t>
  </si>
  <si>
    <t>ledger · CSV · row 29</t>
  </si>
  <si>
    <t>CASE-C1A4E262</t>
  </si>
  <si>
    <t>INV-100020B</t>
  </si>
  <si>
    <t xml:space="preserve">مطابقة تجميعية مثبتة: المرجع INV-100020B مطابق؛ 3 حركة مورد و1 حركة دفتر؛ إجمالي كل طرف 6,750.00 SAR.
نوع المستند Invoice متسق، وجميع حركات المجموعة في تاريخ واحد ضمن فرق الأيام المسموح للمطابقة؛ أمر شراء مشترك PO-100020B؛ سند المجموعة AP-100020B. المجموعة كاملة وفريدة، ولم يُبحث عن مجموعات جزئية.</t>
  </si>
  <si>
    <t>supplier · CSV · row 28</t>
  </si>
  <si>
    <t>supplier · CSV · row 29</t>
  </si>
  <si>
    <t>supplier · CSV · row 30</t>
  </si>
  <si>
    <t>ledger · CSV · row 30</t>
  </si>
  <si>
    <t>CASE-BC638A3E</t>
  </si>
  <si>
    <t>BANK-100020</t>
  </si>
  <si>
    <t xml:space="preserve">مطابقة تجميعية مثبتة: المرجع BANK-100020 مطابق؛ 1 حركة مورد و2 حركة دفتر؛ إجمالي كل طرف -300.00 SAR.
مطابقة دفعة بين الكشفين وليست تخصيصًا لفواتير. هوية التحويل البنكي BANK-100020 واردة في عمود صريح لكل عضو. نوع المستند دفعة في الطرفين، وحركات الطرف المجمع في تاريخ واحد ضمن فرق الأيام المسموح، والإشارة والعملة متسقتان. شملت المقارنة كامل مجموعة الهوية دون صف مستبعد أو هوية منافسة؛ لم يُبحث عن مجموعات جزئية.</t>
  </si>
  <si>
    <t>supplier · CSV · row 31</t>
  </si>
  <si>
    <t>ledger · CSV · row 31</t>
  </si>
  <si>
    <t>ledger · CSV · row 32</t>
  </si>
  <si>
    <t>CASE-EE6627E8</t>
  </si>
  <si>
    <t>BANK-100020B</t>
  </si>
  <si>
    <t xml:space="preserve">مطابقة تجميعية مثبتة: المرجع BANK-100020B مطابق؛ 2 حركة مورد و1 حركة دفتر؛ إجمالي كل طرف -300.00 SAR.
مطابقة دفعة بين الكشفين وليست تخصيصًا لفواتير. هوية التحويل البنكي BANK-100020B واردة في عمود صريح لكل عضو. نوع المستند دفعة في الطرفين، وحركات الطرف المجمع في تاريخ واحد ضمن فرق الأيام المسموح، والإشارة والعملة متسقتان. شملت المقارنة كامل مجموعة الهوية دون صف مستبعد أو هوية منافسة؛ لم يُبحث عن مجموعات جزئية.</t>
  </si>
  <si>
    <t>supplier · CSV · row 32</t>
  </si>
  <si>
    <t>supplier · CSV · row 33</t>
  </si>
  <si>
    <t>ledger · CSV · row 33</t>
  </si>
  <si>
    <t>CASE-623DC990</t>
  </si>
  <si>
    <t>INV-100030</t>
  </si>
  <si>
    <t xml:space="preserve">مطابقة تجميعية مثبتة: المرجع INV-100030 مطابق؛ 1 حركة مورد و3 حركة دفتر؛ إجمالي كل طرف 6,750.00 SAR.
نوع المستند Invoice متسق، وجميع حركات المجموعة في تاريخ واحد ضمن فرق الأيام المسموح للمطابقة؛ أمر شراء مشترك PO-100030؛ سند المجموعة AP-100030. المجموعة كاملة وفريدة، ولم يُبحث عن مجموعات جزئية.</t>
  </si>
  <si>
    <t>supplier · CSV · row 37</t>
  </si>
  <si>
    <t>ledger · CSV · row 37</t>
  </si>
  <si>
    <t>ledger · CSV · row 38</t>
  </si>
  <si>
    <t>ledger · CSV · row 39</t>
  </si>
  <si>
    <t>CASE-6BDB8B4A</t>
  </si>
  <si>
    <t>INV-100030B</t>
  </si>
  <si>
    <t xml:space="preserve">مطابقة تجميعية مثبتة: المرجع INV-100030B مطابق؛ 3 حركة مورد و1 حركة دفتر؛ إجمالي كل طرف 6,750.00 SAR.
نوع المستند Invoice متسق، وجميع حركات المجموعة في تاريخ واحد ضمن فرق الأيام المسموح للمطابقة؛ أمر شراء مشترك PO-100030B؛ سند المجموعة AP-100030B. المجموعة كاملة وفريدة، ولم يُبحث عن مجموعات جزئية.</t>
  </si>
  <si>
    <t>supplier · CSV · row 38</t>
  </si>
  <si>
    <t>supplier · CSV · row 39</t>
  </si>
  <si>
    <t>supplier · CSV · row 40</t>
  </si>
  <si>
    <t>ledger · CSV · row 40</t>
  </si>
  <si>
    <t>CASE-A15F2B4C</t>
  </si>
  <si>
    <t>BANK-100030</t>
  </si>
  <si>
    <t xml:space="preserve">مطابقة تجميعية مثبتة: المرجع BANK-100030 مطابق؛ 1 حركة مورد و2 حركة دفتر؛ إجمالي كل طرف -300.00 SAR.
مطابقة دفعة بين الكشفين وليست تخصيصًا لفواتير. هوية التحويل البنكي BANK-100030 واردة في عمود صريح لكل عضو. نوع المستند دفعة في الطرفين، وحركات الطرف المجمع في تاريخ واحد ضمن فرق الأيام المسموح، والإشارة والعملة متسقتان. شملت المقارنة كامل مجموعة الهوية دون صف مستبعد أو هوية منافسة؛ لم يُبحث عن مجموعات جزئية.</t>
  </si>
  <si>
    <t>supplier · CSV · row 41</t>
  </si>
  <si>
    <t>ledger · CSV · row 41</t>
  </si>
  <si>
    <t>ledger · CSV · row 42</t>
  </si>
  <si>
    <t>CASE-0AF6D3CC</t>
  </si>
  <si>
    <t>BANK-100030B</t>
  </si>
  <si>
    <t xml:space="preserve">مطابقة تجميعية مثبتة: المرجع BANK-100030B مطابق؛ 2 حركة مورد و1 حركة دفتر؛ إجمالي كل طرف -300.00 SAR.
مطابقة دفعة بين الكشفين وليست تخصيصًا لفواتير. هوية التحويل البنكي BANK-100030B واردة في عمود صريح لكل عضو. نوع المستند دفعة في الطرفين، وحركات الطرف المجمع في تاريخ واحد ضمن فرق الأيام المسموح، والإشارة والعملة متسقتان. شملت المقارنة كامل مجموعة الهوية دون صف مستبعد أو هوية منافسة؛ لم يُبحث عن مجموعات جزئية.</t>
  </si>
  <si>
    <t>supplier · CSV · row 42</t>
  </si>
  <si>
    <t>supplier · CSV · row 43</t>
  </si>
  <si>
    <t>ledger · CSV · row 43</t>
  </si>
  <si>
    <t>CASE-A754E6C4</t>
  </si>
  <si>
    <t>INV-100040</t>
  </si>
  <si>
    <t xml:space="preserve">مطابقة تجميعية مثبتة: المرجع INV-100040 مطابق؛ 1 حركة مورد و3 حركة دفتر؛ إجمالي كل طرف 6,750.00 SAR.
نوع المستند Invoice متسق، وجميع حركات المجموعة في تاريخ واحد ضمن فرق الأيام المسموح للمطابقة؛ أمر شراء مشترك PO-100040؛ سند المجموعة AP-100040. المجموعة كاملة وفريدة، ولم يُبحث عن مجموعات جزئية.</t>
  </si>
  <si>
    <t>supplier · CSV · row 47</t>
  </si>
  <si>
    <t>ledger · CSV · row 47</t>
  </si>
  <si>
    <t>ledger · CSV · row 48</t>
  </si>
  <si>
    <t>ledger · CSV · row 49</t>
  </si>
  <si>
    <t>CASE-EFDE792A</t>
  </si>
  <si>
    <t>INV-100040B</t>
  </si>
  <si>
    <t xml:space="preserve">مطابقة تجميعية مثبتة: المرجع INV-100040B مطابق؛ 3 حركة مورد و1 حركة دفتر؛ إجمالي كل طرف 6,750.00 SAR.
نوع المستند Invoice متسق، وجميع حركات المجموعة في تاريخ واحد ضمن فرق الأيام المسموح للمطابقة؛ أمر شراء مشترك PO-100040B؛ سند المجموعة AP-100040B. المجموعة كاملة وفريدة، ولم يُبحث عن مجموعات جزئية.</t>
  </si>
  <si>
    <t>supplier · CSV · row 48</t>
  </si>
  <si>
    <t>supplier · CSV · row 49</t>
  </si>
  <si>
    <t>supplier · CSV · row 50</t>
  </si>
  <si>
    <t>ledger · CSV · row 50</t>
  </si>
  <si>
    <t>CASE-BC44B456</t>
  </si>
  <si>
    <t>BANK-100040</t>
  </si>
  <si>
    <t xml:space="preserve">مطابقة تجميعية مثبتة: المرجع BANK-100040 مطابق؛ 1 حركة مورد و2 حركة دفتر؛ إجمالي كل طرف -300.00 SAR.
مطابقة دفعة بين الكشفين وليست تخصيصًا لفواتير. هوية التحويل البنكي BANK-100040 واردة في عمود صريح لكل عضو. نوع المستند دفعة في الطرفين، وحركات الطرف المجمع في تاريخ واحد ضمن فرق الأيام المسموح، والإشارة والعملة متسقتان. شملت المقارنة كامل مجموعة الهوية دون صف مستبعد أو هوية منافسة؛ لم يُبحث عن مجموعات جزئية.</t>
  </si>
  <si>
    <t>supplier · CSV · row 51</t>
  </si>
  <si>
    <t>ledger · CSV · row 51</t>
  </si>
  <si>
    <t>ledger · CSV · row 52</t>
  </si>
  <si>
    <t>CASE-A8BD7B90</t>
  </si>
  <si>
    <t>BANK-100040B</t>
  </si>
  <si>
    <t xml:space="preserve">مطابقة تجميعية مثبتة: المرجع BANK-100040B مطابق؛ 2 حركة مورد و1 حركة دفتر؛ إجمالي كل طرف -300.00 SAR.
مطابقة دفعة بين الكشفين وليست تخصيصًا لفواتير. هوية التحويل البنكي BANK-100040B واردة في عمود صريح لكل عضو. نوع المستند دفعة في الطرفين، وحركات الطرف المجمع في تاريخ واحد ضمن فرق الأيام المسموح، والإشارة والعملة متسقتان. شملت المقارنة كامل مجموعة الهوية دون صف مستبعد أو هوية منافسة؛ لم يُبحث عن مجموعات جزئية.</t>
  </si>
  <si>
    <t>supplier · CSV · row 52</t>
  </si>
  <si>
    <t>supplier · CSV · row 53</t>
  </si>
  <si>
    <t>ledger · CSV · row 53</t>
  </si>
  <si>
    <t>CASE-599B3180</t>
  </si>
  <si>
    <t>INV-100050</t>
  </si>
  <si>
    <t xml:space="preserve">مطابقة تجميعية مثبتة: المرجع INV-100050 مطابق؛ 1 حركة مورد و3 حركة دفتر؛ إجمالي كل طرف 6,750.00 SAR.
نوع المستند Invoice متسق، وجميع حركات المجموعة في تاريخ واحد ضمن فرق الأيام المسموح للمطابقة؛ أمر شراء مشترك PO-100050؛ سند المجموعة AP-100050. المجموعة كاملة وفريدة، ولم يُبحث عن مجموعات جزئية.</t>
  </si>
  <si>
    <t>supplier · CSV · row 57</t>
  </si>
  <si>
    <t>ledger · CSV · row 57</t>
  </si>
  <si>
    <t>ledger · CSV · row 58</t>
  </si>
  <si>
    <t>ledger · CSV · row 59</t>
  </si>
  <si>
    <t>CASE-74AF37AA</t>
  </si>
  <si>
    <t>INV-100050B</t>
  </si>
  <si>
    <t xml:space="preserve">مطابقة تجميعية مثبتة: المرجع INV-100050B مطابق؛ 3 حركة مورد و1 حركة دفتر؛ إجمالي كل طرف 6,750.00 SAR.
نوع المستند Invoice متسق، وجميع حركات المجموعة في تاريخ واحد ضمن فرق الأيام المسموح للمطابقة؛ أمر شراء مشترك PO-100050B؛ سند المجموعة AP-100050B. المجموعة كاملة وفريدة، ولم يُبحث عن مجموعات جزئية.</t>
  </si>
  <si>
    <t>supplier · CSV · row 58</t>
  </si>
  <si>
    <t>supplier · CSV · row 59</t>
  </si>
  <si>
    <t>supplier · CSV · row 60</t>
  </si>
  <si>
    <t>ledger · CSV · row 60</t>
  </si>
  <si>
    <t>CASE-09152100</t>
  </si>
  <si>
    <t>BANK-100050</t>
  </si>
  <si>
    <t xml:space="preserve">مطابقة تجميعية مثبتة: المرجع BANK-100050 مطابق؛ 1 حركة مورد و2 حركة دفتر؛ إجمالي كل طرف -300.00 SAR.
مطابقة دفعة بين الكشفين وليست تخصيصًا لفواتير. هوية التحويل البنكي BANK-100050 واردة في عمود صريح لكل عضو. نوع المستند دفعة في الطرفين، وحركات الطرف المجمع في تاريخ واحد ضمن فرق الأيام المسموح، والإشارة والعملة متسقتان. شملت المقارنة كامل مجموعة الهوية دون صف مستبعد أو هوية منافسة؛ لم يُبحث عن مجموعات جزئية.</t>
  </si>
  <si>
    <t>supplier · CSV · row 61</t>
  </si>
  <si>
    <t>ledger · CSV · row 61</t>
  </si>
  <si>
    <t>ledger · CSV · row 62</t>
  </si>
  <si>
    <t>CASE-E4B9C03C</t>
  </si>
  <si>
    <t>BANK-100050B</t>
  </si>
  <si>
    <t xml:space="preserve">مطابقة تجميعية مثبتة: المرجع BANK-100050B مطابق؛ 2 حركة مورد و1 حركة دفتر؛ إجمالي كل طرف -300.00 SAR.
مطابقة دفعة بين الكشفين وليست تخصيصًا لفواتير. هوية التحويل البنكي BANK-100050B واردة في عمود صريح لكل عضو. نوع المستند دفعة في الطرفين، وحركات الطرف المجمع في تاريخ واحد ضمن فرق الأيام المسموح، والإشارة والعملة متسقتان. شملت المقارنة كامل مجموعة الهوية دون صف مستبعد أو هوية منافسة؛ لم يُبحث عن مجموعات جزئية.</t>
  </si>
  <si>
    <t>supplier · CSV · row 62</t>
  </si>
  <si>
    <t>supplier · CSV · row 63</t>
  </si>
  <si>
    <t>ledger · CSV · row 63</t>
  </si>
  <si>
    <t>CASE-EE40F404</t>
  </si>
  <si>
    <t>INV-100060</t>
  </si>
  <si>
    <t xml:space="preserve">مطابقة تجميعية مثبتة: المرجع INV-100060 مطابق؛ 1 حركة مورد و3 حركة دفتر؛ إجمالي كل طرف 6,750.00 SAR.
نوع المستند Invoice متسق، وجميع حركات المجموعة في تاريخ واحد ضمن فرق الأيام المسموح للمطابقة؛ أمر شراء مشترك PO-100060؛ سند المجموعة AP-100060. المجموعة كاملة وفريدة، ولم يُبحث عن مجموعات جزئية.</t>
  </si>
  <si>
    <t>supplier · CSV · row 67</t>
  </si>
  <si>
    <t>ledger · CSV · row 67</t>
  </si>
  <si>
    <t>ledger · CSV · row 68</t>
  </si>
  <si>
    <t>ledger · CSV · row 69</t>
  </si>
  <si>
    <t>CASE-0EB220B2</t>
  </si>
  <si>
    <t>INV-100060B</t>
  </si>
  <si>
    <t xml:space="preserve">مطابقة تجميعية مثبتة: المرجع INV-100060B مطابق؛ 3 حركة مورد و1 حركة دفتر؛ إجمالي كل طرف 6,750.00 SAR.
نوع المستند Invoice متسق، وجميع حركات المجموعة في تاريخ واحد ضمن فرق الأيام المسموح للمطابقة؛ أمر شراء مشترك PO-100060B؛ سند المجموعة AP-100060B. المجموعة كاملة وفريدة، ولم يُبحث عن مجموعات جزئية.</t>
  </si>
  <si>
    <t>supplier · CSV · row 68</t>
  </si>
  <si>
    <t>supplier · CSV · row 69</t>
  </si>
  <si>
    <t>supplier · CSV · row 70</t>
  </si>
  <si>
    <t>ledger · CSV · row 70</t>
  </si>
  <si>
    <t>CASE-0BF7CBC6</t>
  </si>
  <si>
    <t>BANK-100060</t>
  </si>
  <si>
    <t xml:space="preserve">مطابقة تجميعية مثبتة: المرجع BANK-100060 مطابق؛ 1 حركة مورد و2 حركة دفتر؛ إجمالي كل طرف -300.00 SAR.
مطابقة دفعة بين الكشفين وليست تخصيصًا لفواتير. هوية التحويل البنكي BANK-100060 واردة في عمود صريح لكل عضو. نوع المستند دفعة في الطرفين، وحركات الطرف المجمع في تاريخ واحد ضمن فرق الأيام المسموح، والإشارة والعملة متسقتان. شملت المقارنة كامل مجموعة الهوية دون صف مستبعد أو هوية منافسة؛ لم يُبحث عن مجموعات جزئية.</t>
  </si>
  <si>
    <t>supplier · CSV · row 71</t>
  </si>
  <si>
    <t>ledger · CSV · row 71</t>
  </si>
  <si>
    <t>ledger · CSV · row 72</t>
  </si>
  <si>
    <t>CASE-0CBCDD40</t>
  </si>
  <si>
    <t>BANK-100060B</t>
  </si>
  <si>
    <t xml:space="preserve">مطابقة تجميعية مثبتة: المرجع BANK-100060B مطابق؛ 2 حركة مورد و1 حركة دفتر؛ إجمالي كل طرف -300.00 SAR.
مطابقة دفعة بين الكشفين وليست تخصيصًا لفواتير. هوية التحويل البنكي BANK-100060B واردة في عمود صريح لكل عضو. نوع المستند دفعة في الطرفين، وحركات الطرف المجمع في تاريخ واحد ضمن فرق الأيام المسموح، والإشارة والعملة متسقتان. شملت المقارنة كامل مجموعة الهوية دون صف مستبعد أو هوية منافسة؛ لم يُبحث عن مجموعات جزئية.</t>
  </si>
  <si>
    <t>supplier · CSV · row 72</t>
  </si>
  <si>
    <t>supplier · CSV · row 73</t>
  </si>
  <si>
    <t>ledger · CSV · row 73</t>
  </si>
  <si>
    <t>CASE-E70A0D10</t>
  </si>
  <si>
    <t>INV-100070</t>
  </si>
  <si>
    <t xml:space="preserve">مطابقة تجميعية مثبتة: المرجع INV-100070 مطابق؛ 1 حركة مورد و3 حركة دفتر؛ إجمالي كل طرف 6,750.00 SAR.
نوع المستند Invoice متسق، وجميع حركات المجموعة في تاريخ واحد ضمن فرق الأيام المسموح للمطابقة؛ أمر شراء مشترك PO-100070؛ سند المجموعة AP-100070. المجموعة كاملة وفريدة، ولم يُبحث عن مجموعات جزئية.</t>
  </si>
  <si>
    <t>supplier · CSV · row 77</t>
  </si>
  <si>
    <t>ledger · CSV · row 77</t>
  </si>
  <si>
    <t>ledger · CSV · row 78</t>
  </si>
  <si>
    <t>ledger · CSV · row 79</t>
  </si>
  <si>
    <t>CASE-1B5BD8DA</t>
  </si>
  <si>
    <t>INV-100070B</t>
  </si>
  <si>
    <t xml:space="preserve">مطابقة تجميعية مثبتة: المرجع INV-100070B مطابق؛ 3 حركة مورد و1 حركة دفتر؛ إجمالي كل طرف 6,750.00 SAR.
نوع المستند Invoice متسق، وجميع حركات المجموعة في تاريخ واحد ضمن فرق الأيام المسموح للمطابقة؛ أمر شراء مشترك PO-100070B؛ سند المجموعة AP-100070B. المجموعة كاملة وفريدة، ولم يُبحث عن مجموعات جزئية.</t>
  </si>
  <si>
    <t>supplier · CSV · row 78</t>
  </si>
  <si>
    <t>supplier · CSV · row 79</t>
  </si>
  <si>
    <t>supplier · CSV · row 80</t>
  </si>
  <si>
    <t>ledger · CSV · row 80</t>
  </si>
  <si>
    <t>CASE-AF08C68C</t>
  </si>
  <si>
    <t>BANK-100070</t>
  </si>
  <si>
    <t xml:space="preserve">مطابقة تجميعية مثبتة: المرجع BANK-100070 مطابق؛ 1 حركة مورد و2 حركة دفتر؛ إجمالي كل طرف -300.00 SAR.
مطابقة دفعة بين الكشفين وليست تخصيصًا لفواتير. هوية التحويل البنكي BANK-100070 واردة في عمود صريح لكل عضو. نوع المستند دفعة في الطرفين، وحركات الطرف المجمع في تاريخ واحد ضمن فرق الأيام المسموح، والإشارة والعملة متسقتان. شملت المقارنة كامل مجموعة الهوية دون صف مستبعد أو هوية منافسة؛ لم يُبحث عن مجموعات جزئية.</t>
  </si>
  <si>
    <t>supplier · CSV · row 81</t>
  </si>
  <si>
    <t>ledger · CSV · row 81</t>
  </si>
  <si>
    <t>ledger · CSV · row 82</t>
  </si>
  <si>
    <t>CASE-160C642C</t>
  </si>
  <si>
    <t>BANK-100070B</t>
  </si>
  <si>
    <t xml:space="preserve">مطابقة تجميعية مثبتة: المرجع BANK-100070B مطابق؛ 2 حركة مورد و1 حركة دفتر؛ إجمالي كل طرف -300.00 SAR.
مطابقة دفعة بين الكشفين وليست تخصيصًا لفواتير. هوية التحويل البنكي BANK-100070B واردة في عمود صريح لكل عضو. نوع المستند دفعة في الطرفين، وحركات الطرف المجمع في تاريخ واحد ضمن فرق الأيام المسموح، والإشارة والعملة متسقتان. شملت المقارنة كامل مجموعة الهوية دون صف مستبعد أو هوية منافسة؛ لم يُبحث عن مجموعات جزئية.</t>
  </si>
  <si>
    <t>supplier · CSV · row 82</t>
  </si>
  <si>
    <t>supplier · CSV · row 83</t>
  </si>
  <si>
    <t>ledger · CSV · row 83</t>
  </si>
  <si>
    <t>CASE-5DA4DD8C</t>
  </si>
  <si>
    <t>INV-100080</t>
  </si>
  <si>
    <t xml:space="preserve">مطابقة تجميعية مثبتة: المرجع INV-100080 مطابق؛ 1 حركة مورد و3 حركة دفتر؛ إجمالي كل طرف 6,750.00 SAR.
نوع المستند Invoice متسق، وجميع حركات المجموعة في تاريخ واحد ضمن فرق الأيام المسموح للمطابقة؛ أمر شراء مشترك PO-100080؛ سند المجموعة AP-100080. المجموعة كاملة وفريدة، ولم يُبحث عن مجموعات جزئية.</t>
  </si>
  <si>
    <t>supplier · CSV · row 87</t>
  </si>
  <si>
    <t>ledger · CSV · row 87</t>
  </si>
  <si>
    <t>ledger · CSV · row 88</t>
  </si>
  <si>
    <t>ledger · CSV · row 89</t>
  </si>
  <si>
    <t>CASE-2B6A2C8A</t>
  </si>
  <si>
    <t>INV-100080B</t>
  </si>
  <si>
    <t xml:space="preserve">مطابقة تجميعية مثبتة: المرجع INV-100080B مطابق؛ 3 حركة مورد و1 حركة دفتر؛ إجمالي كل طرف 6,750.00 SAR.
نوع المستند Invoice متسق، وجميع حركات المجموعة في تاريخ واحد ضمن فرق الأيام المسموح للمطابقة؛ أمر شراء مشترك PO-100080B؛ سند المجموعة AP-100080B. المجموعة كاملة وفريدة، ولم يُبحث عن مجموعات جزئية.</t>
  </si>
  <si>
    <t>supplier · CSV · row 88</t>
  </si>
  <si>
    <t>supplier · CSV · row 89</t>
  </si>
  <si>
    <t>supplier · CSV · row 90</t>
  </si>
  <si>
    <t>ledger · CSV · row 90</t>
  </si>
  <si>
    <t>CASE-FE3F972E</t>
  </si>
  <si>
    <t>BANK-100080</t>
  </si>
  <si>
    <t xml:space="preserve">مطابقة تجميعية مثبتة: المرجع BANK-100080 مطابق؛ 1 حركة مورد و2 حركة دفتر؛ إجمالي كل طرف -300.00 SAR.
مطابقة دفعة بين الكشفين وليست تخصيصًا لفواتير. هوية التحويل البنكي BANK-100080 واردة في عمود صريح لكل عضو. نوع المستند دفعة في الطرفين، وحركات الطرف المجمع في تاريخ واحد ضمن فرق الأيام المسموح، والإشارة والعملة متسقتان. شملت المقارنة كامل مجموعة الهوية دون صف مستبعد أو هوية منافسة؛ لم يُبحث عن مجموعات جزئية.</t>
  </si>
  <si>
    <t>supplier · CSV · row 91</t>
  </si>
  <si>
    <t>ledger · CSV · row 91</t>
  </si>
  <si>
    <t>ledger · CSV · row 92</t>
  </si>
  <si>
    <t>CASE-6D7B7688</t>
  </si>
  <si>
    <t>BANK-100080B</t>
  </si>
  <si>
    <t xml:space="preserve">مطابقة تجميعية مثبتة: المرجع BANK-100080B مطابق؛ 2 حركة مورد و1 حركة دفتر؛ إجمالي كل طرف -300.00 SAR.
مطابقة دفعة بين الكشفين وليست تخصيصًا لفواتير. هوية التحويل البنكي BANK-100080B واردة في عمود صريح لكل عضو. نوع المستند دفعة في الطرفين، وحركات الطرف المجمع في تاريخ واحد ضمن فرق الأيام المسموح، والإشارة والعملة متسقتان. شملت المقارنة كامل مجموعة الهوية دون صف مستبعد أو هوية منافسة؛ لم يُبحث عن مجموعات جزئية.</t>
  </si>
  <si>
    <t>supplier · CSV · row 92</t>
  </si>
  <si>
    <t>supplier · CSV · row 93</t>
  </si>
  <si>
    <t>ledger · CSV · row 93</t>
  </si>
  <si>
    <t>CASE-5A0959B0</t>
  </si>
  <si>
    <t>INV-100090</t>
  </si>
  <si>
    <t xml:space="preserve">مطابقة تجميعية مثبتة: المرجع INV-100090 مطابق؛ 1 حركة مورد و3 حركة دفتر؛ إجمالي كل طرف 6,750.00 SAR.
نوع المستند Invoice متسق، وجميع حركات المجموعة في تاريخ واحد ضمن فرق الأيام المسموح للمطابقة؛ أمر شراء مشترك PO-100090؛ سند المجموعة AP-100090. المجموعة كاملة وفريدة، ولم يُبحث عن مجموعات جزئية.</t>
  </si>
  <si>
    <t>supplier · CSV · row 97</t>
  </si>
  <si>
    <t>ledger · CSV · row 97</t>
  </si>
  <si>
    <t>ledger · CSV · row 98</t>
  </si>
  <si>
    <t>ledger · CSV · row 99</t>
  </si>
  <si>
    <t>CASE-EACCC69A</t>
  </si>
  <si>
    <t>INV-100090B</t>
  </si>
  <si>
    <t xml:space="preserve">مطابقة تجميعية مثبتة: المرجع INV-100090B مطابق؛ 3 حركة مورد و1 حركة دفتر؛ إجمالي كل طرف 6,750.00 SAR.
نوع المستند Invoice متسق، وجميع حركات المجموعة في تاريخ واحد ضمن فرق الأيام المسموح للمطابقة؛ أمر شراء مشترك PO-100090B؛ سند المجموعة AP-100090B. المجموعة كاملة وفريدة، ولم يُبحث عن مجموعات جزئية.</t>
  </si>
  <si>
    <t>supplier · CSV · row 98</t>
  </si>
  <si>
    <t>supplier · CSV · row 99</t>
  </si>
  <si>
    <t>supplier · CSV · row 100</t>
  </si>
  <si>
    <t>ledger · CSV · row 100</t>
  </si>
  <si>
    <t>CASE-E324D578</t>
  </si>
  <si>
    <t>BANK-100090</t>
  </si>
  <si>
    <t xml:space="preserve">مطابقة تجميعية مثبتة: المرجع BANK-100090 مطابق؛ 1 حركة مورد و2 حركة دفتر؛ إجمالي كل طرف -300.00 SAR.
مطابقة دفعة بين الكشفين وليست تخصيصًا لفواتير. هوية التحويل البنكي BANK-100090 واردة في عمود صريح لكل عضو. نوع المستند دفعة في الطرفين، وحركات الطرف المجمع في تاريخ واحد ضمن فرق الأيام المسموح، والإشارة والعملة متسقتان. شملت المقارنة كامل مجموعة الهوية دون صف مستبعد أو هوية منافسة؛ لم يُبحث عن مجموعات جزئية.</t>
  </si>
  <si>
    <t>supplier · CSV · row 101</t>
  </si>
  <si>
    <t>ledger · CSV · row 101</t>
  </si>
  <si>
    <t>ledger · CSV · row 102</t>
  </si>
  <si>
    <t>CASE-5D5F8AAC</t>
  </si>
  <si>
    <t>BANK-100090B</t>
  </si>
  <si>
    <t xml:space="preserve">مطابقة تجميعية مثبتة: المرجع BANK-100090B مطابق؛ 2 حركة مورد و1 حركة دفتر؛ إجمالي كل طرف -300.00 SAR.
مطابقة دفعة بين الكشفين وليست تخصيصًا لفواتير. هوية التحويل البنكي BANK-100090B واردة في عمود صريح لكل عضو. نوع المستند دفعة في الطرفين، وحركات الطرف المجمع في تاريخ واحد ضمن فرق الأيام المسموح، والإشارة والعملة متسقتان. شملت المقارنة كامل مجموعة الهوية دون صف مستبعد أو هوية منافسة؛ لم يُبحث عن مجموعات جزئية.</t>
  </si>
  <si>
    <t>supplier · CSV · row 102</t>
  </si>
  <si>
    <t>supplier · CSV · row 103</t>
  </si>
  <si>
    <t>ledger · CSV · row 103</t>
  </si>
  <si>
    <t>Classification</t>
  </si>
  <si>
    <t>Supplier Members</t>
  </si>
  <si>
    <t>Ledger Members</t>
  </si>
  <si>
    <t>Supplier Total</t>
  </si>
  <si>
    <t>Ledger Total</t>
  </si>
  <si>
    <t>Variance</t>
  </si>
  <si>
    <t>Why Review Is Required</t>
  </si>
  <si>
    <t>Suggested Action</t>
  </si>
  <si>
    <t>User Decision</t>
  </si>
  <si>
    <t>User Reason</t>
  </si>
  <si>
    <t>CASE-CF23D997</t>
  </si>
  <si>
    <t>AMBIGUOUS_CANDIDATE</t>
  </si>
  <si>
    <t xml:space="preserve">DUP-100000 · CSV:14
DUP-100000 · CSV:15</t>
  </si>
  <si>
    <t xml:space="preserve">المرجع متكرر، والمجموعة الكاملة لا تستوفي أدلة المطابقة التجميعية الفريدة. لن يختار المحرك مجموعة جزئية تلقائيًا.
المجموع متساوٍ، لكنه لا يثبت هوية الحركات ضمن المجموعة.</t>
  </si>
  <si>
    <t>The evidence does not prove a unique match.</t>
  </si>
  <si>
    <t>Inspect the linked source documents and record a supported decision in TARASUF.</t>
  </si>
  <si>
    <t>Pending</t>
  </si>
  <si>
    <t>Needs Review</t>
  </si>
  <si>
    <t>supplier · CSV · row 14</t>
  </si>
  <si>
    <t>supplier · CSV · row 15</t>
  </si>
  <si>
    <t>ledger · CSV · row 14</t>
  </si>
  <si>
    <t>ledger · CSV · row 15</t>
  </si>
  <si>
    <t>CASE-55E7783F</t>
  </si>
  <si>
    <t xml:space="preserve">DUP-100010 · CSV:24
DUP-100010 · CSV:25</t>
  </si>
  <si>
    <t>supplier · CSV · row 24</t>
  </si>
  <si>
    <t>supplier · CSV · row 25</t>
  </si>
  <si>
    <t>ledger · CSV · row 24</t>
  </si>
  <si>
    <t>ledger · CSV · row 25</t>
  </si>
  <si>
    <t>CASE-4B170FDF</t>
  </si>
  <si>
    <t xml:space="preserve">DUP-100020 · CSV:34
DUP-100020 · CSV:35</t>
  </si>
  <si>
    <t>supplier · CSV · row 34</t>
  </si>
  <si>
    <t>supplier · CSV · row 35</t>
  </si>
  <si>
    <t>ledger · CSV · row 34</t>
  </si>
  <si>
    <t>ledger · CSV · row 35</t>
  </si>
  <si>
    <t>CASE-73D88197</t>
  </si>
  <si>
    <t xml:space="preserve">DUP-100030 · CSV:44
DUP-100030 · CSV:45</t>
  </si>
  <si>
    <t>supplier · CSV · row 44</t>
  </si>
  <si>
    <t>supplier · CSV · row 45</t>
  </si>
  <si>
    <t>ledger · CSV · row 44</t>
  </si>
  <si>
    <t>ledger · CSV · row 45</t>
  </si>
  <si>
    <t>CASE-B6B5A1BF</t>
  </si>
  <si>
    <t xml:space="preserve">DUP-100040 · CSV:54
DUP-100040 · CSV:55</t>
  </si>
  <si>
    <t>supplier · CSV · row 54</t>
  </si>
  <si>
    <t>supplier · CSV · row 55</t>
  </si>
  <si>
    <t>ledger · CSV · row 54</t>
  </si>
  <si>
    <t>ledger · CSV · row 55</t>
  </si>
  <si>
    <t>CASE-F39232B7</t>
  </si>
  <si>
    <t xml:space="preserve">DUP-100050 · CSV:64
DUP-100050 · CSV:65</t>
  </si>
  <si>
    <t>supplier · CSV · row 64</t>
  </si>
  <si>
    <t>supplier · CSV · row 65</t>
  </si>
  <si>
    <t>ledger · CSV · row 64</t>
  </si>
  <si>
    <t>ledger · CSV · row 65</t>
  </si>
  <si>
    <t>CASE-B22F0477</t>
  </si>
  <si>
    <t xml:space="preserve">DUP-100060 · CSV:74
DUP-100060 · CSV:75</t>
  </si>
  <si>
    <t>supplier · CSV · row 74</t>
  </si>
  <si>
    <t>supplier · CSV · row 75</t>
  </si>
  <si>
    <t>ledger · CSV · row 74</t>
  </si>
  <si>
    <t>ledger · CSV · row 75</t>
  </si>
  <si>
    <t>CASE-F808845F</t>
  </si>
  <si>
    <t xml:space="preserve">DUP-100070 · CSV:84
DUP-100070 · CSV:85</t>
  </si>
  <si>
    <t>supplier · CSV · row 84</t>
  </si>
  <si>
    <t>supplier · CSV · row 85</t>
  </si>
  <si>
    <t>ledger · CSV · row 84</t>
  </si>
  <si>
    <t>ledger · CSV · row 85</t>
  </si>
  <si>
    <t>CASE-3B2D8427</t>
  </si>
  <si>
    <t xml:space="preserve">DUP-100080 · CSV:94
DUP-100080 · CSV:95</t>
  </si>
  <si>
    <t>supplier · CSV · row 94</t>
  </si>
  <si>
    <t>supplier · CSV · row 95</t>
  </si>
  <si>
    <t>ledger · CSV · row 94</t>
  </si>
  <si>
    <t>ledger · CSV · row 95</t>
  </si>
  <si>
    <t>CASE-E99DF61F</t>
  </si>
  <si>
    <t xml:space="preserve">DUP-100090 · CSV:104
DUP-100090 · CSV:105</t>
  </si>
  <si>
    <t>supplier · CSV · row 104</t>
  </si>
  <si>
    <t>supplier · CSV · row 105</t>
  </si>
  <si>
    <t>ledger · CSV · row 104</t>
  </si>
  <si>
    <t>ledger · CSV · row 105</t>
  </si>
  <si>
    <t>Side</t>
  </si>
  <si>
    <t>Date</t>
  </si>
  <si>
    <t>Document Type</t>
  </si>
  <si>
    <t>Reference</t>
  </si>
  <si>
    <t>PO / Voucher / Bank Ref</t>
  </si>
  <si>
    <t>Description</t>
  </si>
  <si>
    <t>Amount</t>
  </si>
  <si>
    <t>Reason</t>
  </si>
  <si>
    <t>Source Link</t>
  </si>
  <si>
    <t>Source Rows</t>
  </si>
  <si>
    <t>Adjustment From Supplier to Ledger</t>
  </si>
  <si>
    <t>Explanation</t>
  </si>
  <si>
    <t>Review Status</t>
  </si>
  <si>
    <t>Supporting Source</t>
  </si>
  <si>
    <t>Balance bridge prerequisites are incomplete. Case adjustments above are transaction effects only.</t>
  </si>
  <si>
    <t>Zero-net review cases — excluded from net adjustments</t>
  </si>
  <si>
    <t>Review case</t>
  </si>
  <si>
    <t>Reviewer Name</t>
  </si>
  <si>
    <t>Review Date</t>
  </si>
  <si>
    <t>Coverage Confirmed</t>
  </si>
  <si>
    <t>Pending user confirmation</t>
  </si>
  <si>
    <t>Review Completed</t>
  </si>
  <si>
    <t>Approved / Not Approved</t>
  </si>
  <si>
    <t>Not approved — review completion is not an approval declaration</t>
  </si>
  <si>
    <t>Notes</t>
  </si>
  <si>
    <t>Snapshot. Editing this workbook does not change TARASUF decisions, evidence or matching status. Record decisions in TARASUF and export a new snapshot.</t>
  </si>
  <si>
    <t>Review History</t>
  </si>
  <si>
    <t>Recorded actions</t>
  </si>
  <si>
    <t>الرمز</t>
  </si>
  <si>
    <t>التفسير</t>
  </si>
  <si>
    <t>حركات المصدر</t>
  </si>
  <si>
    <t>المورد: لم يُستخرج رصيد كافٍ لاختبار المعادلة.</t>
  </si>
  <si>
    <t/>
  </si>
  <si>
    <t>المورد: لم يؤكد المستخدم بعد اكتمال تغطية الفترة. هذا لا يغيّر نتيجة اختبار معادلة الرصيد.</t>
  </si>
  <si>
    <t>الدفتر: لم يُستخرج رصيد كافٍ لاختبار المعادلة.</t>
  </si>
  <si>
    <t>الدفتر: لم يؤكد المستخدم بعد اكتمال تغطية الفترة. هذا لا يغيّر نتيجة اختبار معادلة الرصيد.</t>
  </si>
  <si>
    <t>EXACT_1_TO_1</t>
  </si>
  <si>
    <t>supplier:0:16 | ledger:0:16</t>
  </si>
  <si>
    <t>supplier:0:26 | ledger:0:26</t>
  </si>
  <si>
    <t>supplier:0:36 | ledger:0:36</t>
  </si>
  <si>
    <t>supplier:0:46 | ledger:0:46</t>
  </si>
  <si>
    <t>supplier:0:56 | ledger:0:56</t>
  </si>
  <si>
    <t>supplier:0:66 | ledger:0:66</t>
  </si>
  <si>
    <t>supplier:0:76 | ledger:0:76</t>
  </si>
  <si>
    <t>supplier:0:86 | ledger:0:86</t>
  </si>
  <si>
    <t>supplier:0:96 | ledger:0:96</t>
  </si>
  <si>
    <t>supplier:0:106 | ledger:0:106</t>
  </si>
  <si>
    <t>EXACT_1_TO_MANY</t>
  </si>
  <si>
    <t>supplier:0:7 | ledger:0:7 | ledger:0:8 | ledger:0:9</t>
  </si>
  <si>
    <t>EXACT_MANY_TO_1</t>
  </si>
  <si>
    <t>supplier:0:8 | supplier:0:9 | supplier:0:10 | ledger:0:10</t>
  </si>
  <si>
    <t>supplier:0:11 | ledger:0:11 | ledger:0:12</t>
  </si>
  <si>
    <t>supplier:0:12 | supplier:0:13 | ledger:0:13</t>
  </si>
  <si>
    <t>supplier:0:17 | ledger:0:17 | ledger:0:18 | ledger:0:19</t>
  </si>
  <si>
    <t>supplier:0:18 | supplier:0:19 | supplier:0:20 | ledger:0:20</t>
  </si>
  <si>
    <t>supplier:0:21 | ledger:0:21 | ledger:0:22</t>
  </si>
  <si>
    <t>supplier:0:22 | supplier:0:23 | ledger:0:23</t>
  </si>
  <si>
    <t>supplier:0:27 | ledger:0:27 | ledger:0:28 | ledger:0:29</t>
  </si>
  <si>
    <t>supplier:0:28 | supplier:0:29 | supplier:0:30 | ledger:0:30</t>
  </si>
  <si>
    <t>supplier:0:31 | ledger:0:31 | ledger:0:32</t>
  </si>
  <si>
    <t>supplier:0:32 | supplier:0:33 | ledger:0:33</t>
  </si>
  <si>
    <t>supplier:0:37 | ledger:0:37 | ledger:0:38 | ledger:0:39</t>
  </si>
  <si>
    <t>supplier:0:38 | supplier:0:39 | supplier:0:40 | ledger:0:40</t>
  </si>
  <si>
    <t>supplier:0:41 | ledger:0:41 | ledger:0:42</t>
  </si>
  <si>
    <t>supplier:0:42 | supplier:0:43 | ledger:0:43</t>
  </si>
  <si>
    <t>supplier:0:47 | ledger:0:47 | ledger:0:48 | ledger:0:49</t>
  </si>
  <si>
    <t>supplier:0:48 | supplier:0:49 | supplier:0:50 | ledger:0:50</t>
  </si>
  <si>
    <t>supplier:0:51 | ledger:0:51 | ledger:0:52</t>
  </si>
  <si>
    <t>supplier:0:52 | supplier:0:53 | ledger:0:53</t>
  </si>
  <si>
    <t>supplier:0:57 | ledger:0:57 | ledger:0:58 | ledger:0:59</t>
  </si>
  <si>
    <t>supplier:0:58 | supplier:0:59 | supplier:0:60 | ledger:0:60</t>
  </si>
  <si>
    <t>supplier:0:61 | ledger:0:61 | ledger:0:62</t>
  </si>
  <si>
    <t>supplier:0:62 | supplier:0:63 | ledger:0:63</t>
  </si>
  <si>
    <t>supplier:0:67 | ledger:0:67 | ledger:0:68 | ledger:0:69</t>
  </si>
  <si>
    <t>supplier:0:68 | supplier:0:69 | supplier:0:70 | ledger:0:70</t>
  </si>
  <si>
    <t>supplier:0:71 | ledger:0:71 | ledger:0:72</t>
  </si>
  <si>
    <t>supplier:0:72 | supplier:0:73 | ledger:0:73</t>
  </si>
  <si>
    <t>supplier:0:77 | ledger:0:77 | ledger:0:78 | ledger:0:79</t>
  </si>
  <si>
    <t>supplier:0:78 | supplier:0:79 | supplier:0:80 | ledger:0:80</t>
  </si>
  <si>
    <t>supplier:0:81 | ledger:0:81 | ledger:0:82</t>
  </si>
  <si>
    <t>supplier:0:82 | supplier:0:83 | ledger:0:83</t>
  </si>
  <si>
    <t>supplier:0:87 | ledger:0:87 | ledger:0:88 | ledger:0:89</t>
  </si>
  <si>
    <t>supplier:0:88 | supplier:0:89 | supplier:0:90 | ledger:0:90</t>
  </si>
  <si>
    <t>supplier:0:91 | ledger:0:91 | ledger:0:92</t>
  </si>
  <si>
    <t>supplier:0:92 | supplier:0:93 | ledger:0:93</t>
  </si>
  <si>
    <t>supplier:0:97 | ledger:0:97 | ledger:0:98 | ledger:0:99</t>
  </si>
  <si>
    <t>supplier:0:98 | supplier:0:99 | supplier:0:100 | ledger:0:100</t>
  </si>
  <si>
    <t>supplier:0:101 | ledger:0:101 | ledger:0:102</t>
  </si>
  <si>
    <t>supplier:0:102 | supplier:0:103 | ledger:0:103</t>
  </si>
  <si>
    <t>supplier:0:14 | supplier:0:15 | ledger:0:14 | ledger:0:15</t>
  </si>
  <si>
    <t>supplier:0:24 | supplier:0:25 | ledger:0:24 | ledger:0:25</t>
  </si>
  <si>
    <t>supplier:0:34 | supplier:0:35 | ledger:0:34 | ledger:0:35</t>
  </si>
  <si>
    <t>supplier:0:44 | supplier:0:45 | ledger:0:44 | ledger:0:45</t>
  </si>
  <si>
    <t>supplier:0:54 | supplier:0:55 | ledger:0:54 | ledger:0:55</t>
  </si>
  <si>
    <t>supplier:0:64 | supplier:0:65 | ledger:0:64 | ledger:0:65</t>
  </si>
  <si>
    <t>supplier:0:74 | supplier:0:75 | ledger:0:74 | ledger:0:75</t>
  </si>
  <si>
    <t>supplier:0:84 | supplier:0:85 | ledger:0:84 | ledger:0:85</t>
  </si>
  <si>
    <t>supplier:0:94 | supplier:0:95 | ledger:0:94 | ledger:0:95</t>
  </si>
  <si>
    <t>supplier:0:104 | supplier:0:105 | ledger:0:104 | ledger:0:105</t>
  </si>
  <si>
    <t>Source Row ID</t>
  </si>
  <si>
    <t>Source Sheet</t>
  </si>
  <si>
    <t>Source Row</t>
  </si>
  <si>
    <t>PDF Page</t>
  </si>
  <si>
    <t>Primary Reference</t>
  </si>
  <si>
    <t>Document Reference</t>
  </si>
  <si>
    <t>Voucher Reference</t>
  </si>
  <si>
    <t>PO Reference</t>
  </si>
  <si>
    <t>Bank Reference</t>
  </si>
  <si>
    <t>Receipt Reference</t>
  </si>
  <si>
    <t>Reviewer Decision</t>
  </si>
  <si>
    <t>Reviewer Reason</t>
  </si>
  <si>
    <t>Retained Evidence</t>
  </si>
  <si>
    <t>supplier</t>
  </si>
  <si>
    <t>supplier:0:16</t>
  </si>
  <si>
    <t>ledger</t>
  </si>
  <si>
    <t>ledger:0:16</t>
  </si>
  <si>
    <t>supplier:0:26</t>
  </si>
  <si>
    <t>ledger:0:26</t>
  </si>
  <si>
    <t>supplier:0:36</t>
  </si>
  <si>
    <t>ledger:0:36</t>
  </si>
  <si>
    <t>supplier:0:46</t>
  </si>
  <si>
    <t>ledger:0:46</t>
  </si>
  <si>
    <t>supplier:0:56</t>
  </si>
  <si>
    <t>ledger:0:56</t>
  </si>
  <si>
    <t>supplier:0:66</t>
  </si>
  <si>
    <t>ledger:0:66</t>
  </si>
  <si>
    <t>supplier:0:76</t>
  </si>
  <si>
    <t>ledger:0:76</t>
  </si>
  <si>
    <t>supplier:0:86</t>
  </si>
  <si>
    <t>ledger:0:86</t>
  </si>
  <si>
    <t>supplier:0:96</t>
  </si>
  <si>
    <t>ledger:0:96</t>
  </si>
  <si>
    <t>supplier:0:106</t>
  </si>
  <si>
    <t>ledger:0:106</t>
  </si>
  <si>
    <t>supplier:0:7</t>
  </si>
  <si>
    <t>AP-100000</t>
  </si>
  <si>
    <t>PO-100000</t>
  </si>
  <si>
    <t>ledger:0:7</t>
  </si>
  <si>
    <t>ledger:0:8</t>
  </si>
  <si>
    <t>ledger:0:9</t>
  </si>
  <si>
    <t>supplier:0:8</t>
  </si>
  <si>
    <t>AP-100000B</t>
  </si>
  <si>
    <t>PO-100000B</t>
  </si>
  <si>
    <t>supplier:0:9</t>
  </si>
  <si>
    <t>supplier:0:10</t>
  </si>
  <si>
    <t>ledger:0:10</t>
  </si>
  <si>
    <t>supplier:0:11</t>
  </si>
  <si>
    <t>PAY-100000</t>
  </si>
  <si>
    <t>ledger:0:11</t>
  </si>
  <si>
    <t>ledger:0:12</t>
  </si>
  <si>
    <t>supplier:0:12</t>
  </si>
  <si>
    <t>PAY-100000B</t>
  </si>
  <si>
    <t>supplier:0:13</t>
  </si>
  <si>
    <t>ledger:0:13</t>
  </si>
  <si>
    <t>supplier:0:17</t>
  </si>
  <si>
    <t>AP-100010</t>
  </si>
  <si>
    <t>PO-100010</t>
  </si>
  <si>
    <t>ledger:0:17</t>
  </si>
  <si>
    <t>ledger:0:18</t>
  </si>
  <si>
    <t>ledger:0:19</t>
  </si>
  <si>
    <t>supplier:0:18</t>
  </si>
  <si>
    <t>AP-100010B</t>
  </si>
  <si>
    <t>PO-100010B</t>
  </si>
  <si>
    <t>supplier:0:19</t>
  </si>
  <si>
    <t>supplier:0:20</t>
  </si>
  <si>
    <t>ledger:0:20</t>
  </si>
  <si>
    <t>supplier:0:21</t>
  </si>
  <si>
    <t>PAY-100010</t>
  </si>
  <si>
    <t>ledger:0:21</t>
  </si>
  <si>
    <t>ledger:0:22</t>
  </si>
  <si>
    <t>supplier:0:22</t>
  </si>
  <si>
    <t>PAY-100010B</t>
  </si>
  <si>
    <t>supplier:0:23</t>
  </si>
  <si>
    <t>ledger:0:23</t>
  </si>
  <si>
    <t>supplier:0:27</t>
  </si>
  <si>
    <t>AP-100020</t>
  </si>
  <si>
    <t>PO-100020</t>
  </si>
  <si>
    <t>ledger:0:27</t>
  </si>
  <si>
    <t>ledger:0:28</t>
  </si>
  <si>
    <t>ledger:0:29</t>
  </si>
  <si>
    <t>supplier:0:28</t>
  </si>
  <si>
    <t>AP-100020B</t>
  </si>
  <si>
    <t>PO-100020B</t>
  </si>
  <si>
    <t>supplier:0:29</t>
  </si>
  <si>
    <t>supplier:0:30</t>
  </si>
  <si>
    <t>ledger:0:30</t>
  </si>
  <si>
    <t>supplier:0:31</t>
  </si>
  <si>
    <t>PAY-100020</t>
  </si>
  <si>
    <t>ledger:0:31</t>
  </si>
  <si>
    <t>ledger:0:32</t>
  </si>
  <si>
    <t>supplier:0:32</t>
  </si>
  <si>
    <t>PAY-100020B</t>
  </si>
  <si>
    <t>supplier:0:33</t>
  </si>
  <si>
    <t>ledger:0:33</t>
  </si>
  <si>
    <t>supplier:0:37</t>
  </si>
  <si>
    <t>AP-100030</t>
  </si>
  <si>
    <t>PO-100030</t>
  </si>
  <si>
    <t>ledger:0:37</t>
  </si>
  <si>
    <t>ledger:0:38</t>
  </si>
  <si>
    <t>ledger:0:39</t>
  </si>
  <si>
    <t>supplier:0:38</t>
  </si>
  <si>
    <t>AP-100030B</t>
  </si>
  <si>
    <t>PO-100030B</t>
  </si>
  <si>
    <t>supplier:0:39</t>
  </si>
  <si>
    <t>supplier:0:40</t>
  </si>
  <si>
    <t>ledger:0:40</t>
  </si>
  <si>
    <t>supplier:0:41</t>
  </si>
  <si>
    <t>PAY-100030</t>
  </si>
  <si>
    <t>ledger:0:41</t>
  </si>
  <si>
    <t>ledger:0:42</t>
  </si>
  <si>
    <t>supplier:0:42</t>
  </si>
  <si>
    <t>PAY-100030B</t>
  </si>
  <si>
    <t>supplier:0:43</t>
  </si>
  <si>
    <t>ledger:0:43</t>
  </si>
  <si>
    <t>supplier:0:47</t>
  </si>
  <si>
    <t>AP-100040</t>
  </si>
  <si>
    <t>PO-100040</t>
  </si>
  <si>
    <t>ledger:0:47</t>
  </si>
  <si>
    <t>ledger:0:48</t>
  </si>
  <si>
    <t>ledger:0:49</t>
  </si>
  <si>
    <t>supplier:0:48</t>
  </si>
  <si>
    <t>AP-100040B</t>
  </si>
  <si>
    <t>PO-100040B</t>
  </si>
  <si>
    <t>supplier:0:49</t>
  </si>
  <si>
    <t>supplier:0:50</t>
  </si>
  <si>
    <t>ledger:0:50</t>
  </si>
  <si>
    <t>supplier:0:51</t>
  </si>
  <si>
    <t>PAY-100040</t>
  </si>
  <si>
    <t>ledger:0:51</t>
  </si>
  <si>
    <t>ledger:0:52</t>
  </si>
  <si>
    <t>supplier:0:52</t>
  </si>
  <si>
    <t>PAY-100040B</t>
  </si>
  <si>
    <t>supplier:0:53</t>
  </si>
  <si>
    <t>ledger:0:53</t>
  </si>
  <si>
    <t>supplier:0:57</t>
  </si>
  <si>
    <t>AP-100050</t>
  </si>
  <si>
    <t>PO-100050</t>
  </si>
  <si>
    <t>ledger:0:57</t>
  </si>
  <si>
    <t>ledger:0:58</t>
  </si>
  <si>
    <t>ledger:0:59</t>
  </si>
  <si>
    <t>supplier:0:58</t>
  </si>
  <si>
    <t>AP-100050B</t>
  </si>
  <si>
    <t>PO-100050B</t>
  </si>
  <si>
    <t>supplier:0:59</t>
  </si>
  <si>
    <t>supplier:0:60</t>
  </si>
  <si>
    <t>ledger:0:60</t>
  </si>
  <si>
    <t>supplier:0:61</t>
  </si>
  <si>
    <t>PAY-100050</t>
  </si>
  <si>
    <t>ledger:0:61</t>
  </si>
  <si>
    <t>ledger:0:62</t>
  </si>
  <si>
    <t>supplier:0:62</t>
  </si>
  <si>
    <t>PAY-100050B</t>
  </si>
  <si>
    <t>supplier:0:63</t>
  </si>
  <si>
    <t>ledger:0:63</t>
  </si>
  <si>
    <t>supplier:0:67</t>
  </si>
  <si>
    <t>AP-100060</t>
  </si>
  <si>
    <t>PO-100060</t>
  </si>
  <si>
    <t>ledger:0:67</t>
  </si>
  <si>
    <t>ledger:0:68</t>
  </si>
  <si>
    <t>ledger:0:69</t>
  </si>
  <si>
    <t>supplier:0:68</t>
  </si>
  <si>
    <t>AP-100060B</t>
  </si>
  <si>
    <t>PO-100060B</t>
  </si>
  <si>
    <t>supplier:0:69</t>
  </si>
  <si>
    <t>supplier:0:70</t>
  </si>
  <si>
    <t>ledger:0:70</t>
  </si>
  <si>
    <t>supplier:0:71</t>
  </si>
  <si>
    <t>PAY-100060</t>
  </si>
  <si>
    <t>ledger:0:71</t>
  </si>
  <si>
    <t>ledger:0:72</t>
  </si>
  <si>
    <t>supplier:0:72</t>
  </si>
  <si>
    <t>PAY-100060B</t>
  </si>
  <si>
    <t>supplier:0:73</t>
  </si>
  <si>
    <t>ledger:0:73</t>
  </si>
  <si>
    <t>supplier:0:77</t>
  </si>
  <si>
    <t>AP-100070</t>
  </si>
  <si>
    <t>PO-100070</t>
  </si>
  <si>
    <t>ledger:0:77</t>
  </si>
  <si>
    <t>ledger:0:78</t>
  </si>
  <si>
    <t>ledger:0:79</t>
  </si>
  <si>
    <t>supplier:0:78</t>
  </si>
  <si>
    <t>AP-100070B</t>
  </si>
  <si>
    <t>PO-100070B</t>
  </si>
  <si>
    <t>supplier:0:79</t>
  </si>
  <si>
    <t>supplier:0:80</t>
  </si>
  <si>
    <t>ledger:0:80</t>
  </si>
  <si>
    <t>supplier:0:81</t>
  </si>
  <si>
    <t>PAY-100070</t>
  </si>
  <si>
    <t>ledger:0:81</t>
  </si>
  <si>
    <t>ledger:0:82</t>
  </si>
  <si>
    <t>supplier:0:82</t>
  </si>
  <si>
    <t>PAY-100070B</t>
  </si>
  <si>
    <t>supplier:0:83</t>
  </si>
  <si>
    <t>ledger:0:83</t>
  </si>
  <si>
    <t>supplier:0:87</t>
  </si>
  <si>
    <t>AP-100080</t>
  </si>
  <si>
    <t>PO-100080</t>
  </si>
  <si>
    <t>ledger:0:87</t>
  </si>
  <si>
    <t>ledger:0:88</t>
  </si>
  <si>
    <t>ledger:0:89</t>
  </si>
  <si>
    <t>supplier:0:88</t>
  </si>
  <si>
    <t>AP-100080B</t>
  </si>
  <si>
    <t>PO-100080B</t>
  </si>
  <si>
    <t>supplier:0:89</t>
  </si>
  <si>
    <t>supplier:0:90</t>
  </si>
  <si>
    <t>ledger:0:90</t>
  </si>
  <si>
    <t>supplier:0:91</t>
  </si>
  <si>
    <t>PAY-100080</t>
  </si>
  <si>
    <t>ledger:0:91</t>
  </si>
  <si>
    <t>ledger:0:92</t>
  </si>
  <si>
    <t>supplier:0:92</t>
  </si>
  <si>
    <t>PAY-100080B</t>
  </si>
  <si>
    <t>supplier:0:93</t>
  </si>
  <si>
    <t>ledger:0:93</t>
  </si>
  <si>
    <t>supplier:0:97</t>
  </si>
  <si>
    <t>AP-100090</t>
  </si>
  <si>
    <t>PO-100090</t>
  </si>
  <si>
    <t>ledger:0:97</t>
  </si>
  <si>
    <t>ledger:0:98</t>
  </si>
  <si>
    <t>ledger:0:99</t>
  </si>
  <si>
    <t>supplier:0:98</t>
  </si>
  <si>
    <t>AP-100090B</t>
  </si>
  <si>
    <t>PO-100090B</t>
  </si>
  <si>
    <t>supplier:0:99</t>
  </si>
  <si>
    <t>supplier:0:100</t>
  </si>
  <si>
    <t>ledger:0:100</t>
  </si>
  <si>
    <t>supplier:0:101</t>
  </si>
  <si>
    <t>PAY-100090</t>
  </si>
  <si>
    <t>ledger:0:101</t>
  </si>
  <si>
    <t>ledger:0:102</t>
  </si>
  <si>
    <t>supplier:0:102</t>
  </si>
  <si>
    <t>PAY-100090B</t>
  </si>
  <si>
    <t>supplier:0:103</t>
  </si>
  <si>
    <t>ledger:0:103</t>
  </si>
  <si>
    <t>REFERENCE_GROUP_NOT_PROVEN</t>
  </si>
  <si>
    <t>supplier:0:14</t>
  </si>
  <si>
    <t>DUP-100000</t>
  </si>
  <si>
    <t>supplier:0:15</t>
  </si>
  <si>
    <t>ledger:0:14</t>
  </si>
  <si>
    <t>ledger:0:15</t>
  </si>
  <si>
    <t>supplier:0:24</t>
  </si>
  <si>
    <t>DUP-100010</t>
  </si>
  <si>
    <t>supplier:0:25</t>
  </si>
  <si>
    <t>ledger:0:24</t>
  </si>
  <si>
    <t>ledger:0:25</t>
  </si>
  <si>
    <t>supplier:0:34</t>
  </si>
  <si>
    <t>DUP-100020</t>
  </si>
  <si>
    <t>supplier:0:35</t>
  </si>
  <si>
    <t>ledger:0:34</t>
  </si>
  <si>
    <t>ledger:0:35</t>
  </si>
  <si>
    <t>supplier:0:44</t>
  </si>
  <si>
    <t>DUP-100030</t>
  </si>
  <si>
    <t>supplier:0:45</t>
  </si>
  <si>
    <t>ledger:0:44</t>
  </si>
  <si>
    <t>ledger:0:45</t>
  </si>
  <si>
    <t>supplier:0:54</t>
  </si>
  <si>
    <t>DUP-100040</t>
  </si>
  <si>
    <t>supplier:0:55</t>
  </si>
  <si>
    <t>ledger:0:54</t>
  </si>
  <si>
    <t>ledger:0:55</t>
  </si>
  <si>
    <t>supplier:0:64</t>
  </si>
  <si>
    <t>DUP-100050</t>
  </si>
  <si>
    <t>supplier:0:65</t>
  </si>
  <si>
    <t>ledger:0:64</t>
  </si>
  <si>
    <t>ledger:0:65</t>
  </si>
  <si>
    <t>supplier:0:74</t>
  </si>
  <si>
    <t>DUP-100060</t>
  </si>
  <si>
    <t>supplier:0:75</t>
  </si>
  <si>
    <t>ledger:0:74</t>
  </si>
  <si>
    <t>ledger:0:75</t>
  </si>
  <si>
    <t>supplier:0:84</t>
  </si>
  <si>
    <t>DUP-100070</t>
  </si>
  <si>
    <t>supplier:0:85</t>
  </si>
  <si>
    <t>ledger:0:84</t>
  </si>
  <si>
    <t>ledger:0:85</t>
  </si>
  <si>
    <t>supplier:0:94</t>
  </si>
  <si>
    <t>DUP-100080</t>
  </si>
  <si>
    <t>supplier:0:95</t>
  </si>
  <si>
    <t>ledger:0:94</t>
  </si>
  <si>
    <t>ledger:0:95</t>
  </si>
  <si>
    <t>supplier:0:104</t>
  </si>
  <si>
    <t>DUP-100090</t>
  </si>
  <si>
    <t>supplier:0:105</t>
  </si>
  <si>
    <t>ledger:0:104</t>
  </si>
  <si>
    <t>ledger:0:105</t>
  </si>
  <si>
    <t>Timestamp</t>
  </si>
  <si>
    <t>Action</t>
  </si>
  <si>
    <t>Source Row IDs</t>
  </si>
  <si>
    <t>compare</t>
  </si>
  <si>
    <t>تأكيد الإعدادات وتشغيل المقارنة: حتى 2026-07-31، SAR، فرق الأيام المسموح 2</t>
  </si>
  <si>
    <t>المعرف</t>
  </si>
  <si>
    <t>الورقة</t>
  </si>
  <si>
    <t>صف المصدر</t>
  </si>
  <si>
    <t>التاريخ</t>
  </si>
  <si>
    <t>المرجع الأصلي</t>
  </si>
  <si>
    <t>المرجع الموحد</t>
  </si>
  <si>
    <t>الوصف</t>
  </si>
  <si>
    <t>المبلغ الموحد</t>
  </si>
  <si>
    <t>المبلغ الأصلي</t>
  </si>
  <si>
    <t>صفحة PDF الأصلية</t>
  </si>
  <si>
    <t>INV100000</t>
  </si>
  <si>
    <t>Synthetic commercial entry</t>
  </si>
  <si>
    <t>6750.00</t>
  </si>
  <si>
    <t>INV100000B</t>
  </si>
  <si>
    <t>2500.00</t>
  </si>
  <si>
    <t>2250.00</t>
  </si>
  <si>
    <t>2000.00</t>
  </si>
  <si>
    <t>BANK100000</t>
  </si>
  <si>
    <t>-300.00</t>
  </si>
  <si>
    <t>BANK100000B</t>
  </si>
  <si>
    <t>-123.00</t>
  </si>
  <si>
    <t>-177.00</t>
  </si>
  <si>
    <t>DUP100000</t>
  </si>
  <si>
    <t>81.00</t>
  </si>
  <si>
    <t>ONE100000</t>
  </si>
  <si>
    <t>127.00</t>
  </si>
  <si>
    <t>INV100010</t>
  </si>
  <si>
    <t>INV100010B</t>
  </si>
  <si>
    <t>BANK100010</t>
  </si>
  <si>
    <t>BANK100010B</t>
  </si>
  <si>
    <t>DUP100010</t>
  </si>
  <si>
    <t>ONE100010</t>
  </si>
  <si>
    <t>INV100020</t>
  </si>
  <si>
    <t>INV100020B</t>
  </si>
  <si>
    <t>BANK100020</t>
  </si>
  <si>
    <t>BANK100020B</t>
  </si>
  <si>
    <t>DUP100020</t>
  </si>
  <si>
    <t>ONE100020</t>
  </si>
  <si>
    <t>INV100030</t>
  </si>
  <si>
    <t>INV100030B</t>
  </si>
  <si>
    <t>BANK100030</t>
  </si>
  <si>
    <t>BANK100030B</t>
  </si>
  <si>
    <t>DUP100030</t>
  </si>
  <si>
    <t>ONE100030</t>
  </si>
  <si>
    <t>INV100040</t>
  </si>
  <si>
    <t>INV100040B</t>
  </si>
  <si>
    <t>BANK100040</t>
  </si>
  <si>
    <t>BANK100040B</t>
  </si>
  <si>
    <t>DUP100040</t>
  </si>
  <si>
    <t>ONE100040</t>
  </si>
  <si>
    <t>INV100050</t>
  </si>
  <si>
    <t>INV100050B</t>
  </si>
  <si>
    <t>BANK100050</t>
  </si>
  <si>
    <t>BANK100050B</t>
  </si>
  <si>
    <t>DUP100050</t>
  </si>
  <si>
    <t>ONE100050</t>
  </si>
  <si>
    <t>INV100060</t>
  </si>
  <si>
    <t>INV100060B</t>
  </si>
  <si>
    <t>BANK100060</t>
  </si>
  <si>
    <t>BANK100060B</t>
  </si>
  <si>
    <t>DUP100060</t>
  </si>
  <si>
    <t>ONE100060</t>
  </si>
  <si>
    <t>INV100070</t>
  </si>
  <si>
    <t>INV100070B</t>
  </si>
  <si>
    <t>BANK100070</t>
  </si>
  <si>
    <t>BANK100070B</t>
  </si>
  <si>
    <t>DUP100070</t>
  </si>
  <si>
    <t>ONE100070</t>
  </si>
  <si>
    <t>INV100080</t>
  </si>
  <si>
    <t>INV100080B</t>
  </si>
  <si>
    <t>BANK100080</t>
  </si>
  <si>
    <t>BANK100080B</t>
  </si>
  <si>
    <t>DUP100080</t>
  </si>
  <si>
    <t>ONE100080</t>
  </si>
  <si>
    <t>INV100090</t>
  </si>
  <si>
    <t>INV100090B</t>
  </si>
  <si>
    <t>BANK100090</t>
  </si>
  <si>
    <t>BANK100090B</t>
  </si>
  <si>
    <t>DUP100090</t>
  </si>
  <si>
    <t>ONE100090</t>
  </si>
  <si>
    <t>الطرف</t>
  </si>
  <si>
    <t>سبب الاستبعاد</t>
  </si>
  <si>
    <t>المحتوى</t>
  </si>
  <si>
    <t>المورد</t>
  </si>
  <si>
    <t>قبل صف العناوين</t>
  </si>
  <si>
    <t>["Supplier","Synthetic Performance Vendor"]</t>
  </si>
  <si>
    <t>["Customer","Synthetic Performance Buyer"]</t>
  </si>
  <si>
    <t>["Customer Account","PERF-ACCOUNT"]</t>
  </si>
  <si>
    <t>["Currency","SAR"]</t>
  </si>
  <si>
    <t>["As of","2026-07-31"]</t>
  </si>
  <si>
    <t>صف العناوين المؤكد</t>
  </si>
  <si>
    <t>["Date","Document No","Document Type","Voucher No","PO No","Bank Reference","Description","Amount","Currency"]</t>
  </si>
  <si>
    <t>الدفتر</t>
  </si>
  <si>
    <t>الحقل</t>
  </si>
  <si>
    <t>القيمة</t>
  </si>
  <si>
    <t>Scope</t>
  </si>
  <si>
    <t>{"supplier":"Synthetic Performance Vendor","entity":"Synthetic Performance Buyer","account":"PERF-ACCOUNT","currency":"SAR","decimals":2,"cutoff":"2026-07-31","dateWindow":2,"confirmed":true,"coverageConfirmed":false}</t>
  </si>
  <si>
    <t>Supplier mapping</t>
  </si>
  <si>
    <t>{"sheet":0,"header":5,"date":0,"reference":-1,"description":6,"amount":7,"debit":-1,"credit":-1,"currencyColumn":8,"mode":"signed","multiplier":1,"numberFormat":"dot","dateFormat":"ymd","reportType":"transactions","opening":"","closing":"","periodStart":"","excluded":{},"pdfReviewed":false}</t>
  </si>
  <si>
    <t>Ledger mapping</t>
  </si>
  <si>
    <t>Supplier PDF layout</t>
  </si>
  <si>
    <t>null</t>
  </si>
  <si>
    <t>Ledger PDF layout</t>
  </si>
  <si>
    <t>Supplier metadata</t>
  </si>
  <si>
    <t>{"openingBalance":null,"closingBalance":null,"periodStart":"","periodEnd":"2026-07-31","supplierStatementAccount":"PERF-ACCOUNT","supplierCode":"","apControlAccount":"","supplierName":"Synthetic Performance Vendor","entityName":"Synthetic Performance Buyer","currency":"SAR","balanceRowReference":{},"evidence":[{"sheet":"CSV","row":1,"column":2,"originalValue":"Synthetic Performance Vendor","field":"supplierName","value":"Synthetic Performance Vendor","method":"literal"},{"sheet":"CSV","row":2,"column":2,"originalValue":"Synthetic Performance Buyer","field":"entityName","value":"Synthetic Performance Buyer","method":"literal"},{"sheet":"CSV","row":3,"column":2,"originalValue":"PERF-ACCOUNT","field":"supplierStatementAccount","value":"PERF-ACCOUNT","method":"literal"},{"sheet":"CSV","row":4,"column":2,"originalValue":"SAR","field":"currency","value":"SAR","method":"literal"},{"sheet":"CSV","row":5,"column":2,"originalValue":"2026-07-31","field":"periodEnd","value":"2026-07-31","method":"literal"}],"warnings":[]}</t>
  </si>
  <si>
    <t>Ledger metadata</t>
  </si>
  <si>
    <t>Rejected pairs</t>
  </si>
  <si>
    <t>[]</t>
  </si>
  <si>
    <t>Ambiguous source rows</t>
  </si>
  <si>
    <t>["supplier:0:14","supplier:0:15","supplier:0:24","supplier:0:25","supplier:0:34","supplier:0:35","supplier:0:44","supplier:0:45","supplier:0:54","supplier:0:55","supplier:0:64","supplier:0:65","supplier:0:74","supplier:0:75","supplier:0:84","supplier:0:85","supplier:0:94","supplier:0:95","supplier:0:104","supplier:0:105","ledger:0:14","ledger:0:15","ledger:0:24","ledger:0:25","ledger:0:34","ledger:0:35","ledger:0:44","ledger:0:45","ledger:0:54","ledger:0:55","ledger:0:64","ledger:0:65","ledger:0:74","ledger:0:75","ledger:0:84","ledger:0:85","ledger:0:94","ledger:0:95","ledger:0:104","ledger:0:105"]</t>
  </si>
  <si>
    <t>Candidate links (not approvals)</t>
  </si>
  <si>
    <t>{}</t>
  </si>
  <si>
    <t>Supplier filename</t>
  </si>
  <si>
    <t>synthetic-100-0.csv</t>
  </si>
  <si>
    <t>Ledger filename</t>
  </si>
  <si>
    <t>synthetic-100-1.csv</t>
  </si>
  <si>
    <t>تحذيرات المورد</t>
  </si>
  <si>
    <t>تحذيرات الدفتر</t>
  </si>
  <si>
    <t>حفظ البيانات</t>
  </si>
  <si>
    <t>تُحفظ البيانات في ملف Excel الذي يختار المستخدم تصديره، ولا تُحفظ على خادم.</t>
  </si>
  <si>
    <t>عمود 1</t>
  </si>
  <si>
    <t>عمود 2</t>
  </si>
  <si>
    <t>عمود 3</t>
  </si>
  <si>
    <t>عمود 4</t>
  </si>
  <si>
    <t>عمود 5</t>
  </si>
  <si>
    <t>عمود 6</t>
  </si>
  <si>
    <t>عمود 7</t>
  </si>
  <si>
    <t>عمود 8</t>
  </si>
  <si>
    <t>عمود 9</t>
  </si>
  <si>
    <t>Customer</t>
  </si>
  <si>
    <t>Customer Account</t>
  </si>
  <si>
    <t>As of</t>
  </si>
  <si>
    <t>2026-07-31</t>
  </si>
  <si>
    <t>Document No</t>
  </si>
  <si>
    <t>Voucher No</t>
  </si>
  <si>
    <t>PO No</t>
  </si>
  <si>
    <t>2026-07-15</t>
  </si>
  <si>
    <t>Invoice</t>
  </si>
  <si>
    <t>Payment</t>
  </si>
  <si>
    <t>صف الاستخراج</t>
  </si>
  <si>
    <t>صفحة PDF</t>
  </si>
  <si>
    <t>المحتوى المستخرج</t>
  </si>
  <si>
    <t>Field</t>
  </si>
  <si>
    <t>Value</t>
  </si>
  <si>
    <t>Engine version</t>
  </si>
  <si>
    <t>0.3.21-experimental</t>
  </si>
  <si>
    <t>Supplier SHA-256</t>
  </si>
  <si>
    <t>fd5a21484885dbb782d8a1d24c47d45a437dafb6d00fa83c36d1f8103932dc14</t>
  </si>
  <si>
    <t>Ledger SHA-256</t>
  </si>
  <si>
    <t>7ecc85542ec4857168d36e985b202413bbf45634225b79448ff4570efd4fc894</t>
  </si>
  <si>
    <t>Export time</t>
  </si>
  <si>
    <t>Workbook mode</t>
  </si>
  <si>
    <t>Verified snapshot; workbook edits do not change engine decisions</t>
  </si>
  <si>
    <t>Parsed source meaning</t>
  </si>
  <si>
    <t>Extracted cells with original source row numbers, not visual reproductions of the original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</si>
</sst>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5" x14ac:knownFonts="1">
    <font>
      <color theme="1"/>
      <family val="2"/>
      <scheme val="minor"/>
      <sz val="11"/>
      <name val="Calibri"/>
    </font>
    <font>
      <b/>
      <color rgb="FFFFFFFF"/>
    </font>
    <font>
      <b/>
      <color rgb="FF24465D"/>
    </font>
    <font>
      <u/>
      <color rgb="FF245A81"/>
    </font>
    <font>
      <b/>
    </font>
  </fonts>
  <fills count="6">
    <fill>
      <patternFill patternType="none"/>
    </fill>
    <fill>
      <patternFill patternType="gray125"/>
    </fill>
    <fill>
      <patternFill patternType="solid">
        <fgColor rgb="FF31556B"/>
      </patternFill>
    </fill>
    <fill>
      <patternFill patternType="solid">
        <fgColor rgb="FFE4F0E9"/>
      </patternFill>
    </fill>
    <fill>
      <patternFill patternType="solid">
        <fgColor rgb="FFFFF0CC"/>
      </patternFill>
    </fill>
    <fill>
      <patternFill patternType="solid">
        <fgColor rgb="FF155C4C"/>
      </patternFill>
    </fill>
  </fills>
  <borders count="1">
    <border>
      <left/>
      <right/>
      <top/>
      <bottom/>
      <diagonal/>
    </border>
  </borders>
  <cellStyleXfs count="1">
    <xf numFmtId="0" fontId="0" fillId="0" borderId="0"/>
  </cellStyleXfs>
  <cellXfs count="24">
    <xf numFmtId="0" fontId="0" fillId="0" borderId="0" xfId="0"/>
    <xf numFmtId="0" fontId="1" fillId="2" borderId="0" xfId="0" applyFont="1" applyFill="1"/>
    <xf numFmtId="0" fontId="1" fillId="2" borderId="0" xfId="0" applyFont="1" applyFill="1" applyAlignment="1">
      <alignment vertical="top" wrapText="1" readingOrder="1"/>
    </xf>
    <xf numFmtId="0" fontId="0" fillId="0" borderId="0" xfId="0" applyAlignment="1">
      <alignment vertical="top" wrapText="1" readingOrder="1"/>
    </xf>
    <xf numFmtId="164" fontId="0" fillId="0" borderId="0" xfId="0" applyNumberFormat="1" applyAlignment="1">
      <alignment vertical="top" wrapText="1" readingOrder="1"/>
    </xf>
    <xf numFmtId="4" fontId="2" fillId="0" borderId="0" xfId="0" applyNumberFormat="1" applyFont="1" applyAlignment="1">
      <alignment vertical="top" wrapText="1" readingOrder="1"/>
    </xf>
    <xf numFmtId="0" fontId="2" fillId="0" borderId="0" xfId="0" applyFont="1" applyAlignment="1">
      <alignment vertical="top" wrapText="1" readingOrder="1"/>
    </xf>
    <xf numFmtId="4" fontId="0" fillId="0" borderId="0" xfId="0" applyNumberFormat="1"/>
    <xf numFmtId="4" fontId="1" fillId="2" borderId="0" xfId="0" applyNumberFormat="1" applyFont="1" applyFill="1" applyAlignment="1">
      <alignment vertical="top" wrapText="1" readingOrder="1"/>
    </xf>
    <xf numFmtId="0" fontId="0" fillId="3" borderId="0" xfId="0" applyFill="1"/>
    <xf numFmtId="0" fontId="0" fillId="3" borderId="0" xfId="0" applyFill="1" applyAlignment="1">
      <alignment vertical="top" wrapText="1" readingOrder="1"/>
    </xf>
    <xf numFmtId="164" fontId="0" fillId="3" borderId="0" xfId="0" applyNumberFormat="1" applyFill="1" applyAlignment="1">
      <alignment vertical="top" wrapText="1" readingOrder="1"/>
    </xf>
    <xf numFmtId="4" fontId="0" fillId="3" borderId="0" xfId="0" applyNumberFormat="1" applyFill="1" applyAlignment="1">
      <alignment vertical="top" wrapText="1" readingOrder="1"/>
    </xf>
    <xf numFmtId="0" fontId="3" fillId="3" borderId="0" xfId="0" applyFont="1" applyFill="1" applyAlignment="1">
      <alignment vertical="top" wrapText="1" readingOrder="1"/>
    </xf>
    <xf numFmtId="0" fontId="0" fillId="4" borderId="0" xfId="0" applyFill="1"/>
    <xf numFmtId="0" fontId="0" fillId="4" borderId="0" xfId="0" applyFill="1" applyAlignment="1">
      <alignment vertical="top" wrapText="1" readingOrder="1"/>
    </xf>
    <xf numFmtId="4" fontId="0" fillId="4" borderId="0" xfId="0" applyNumberFormat="1" applyFill="1" applyAlignment="1">
      <alignment vertical="top" wrapText="1" readingOrder="1"/>
    </xf>
    <xf numFmtId="0" fontId="3" fillId="4" borderId="0" xfId="0" applyFont="1" applyFill="1" applyAlignment="1">
      <alignment vertical="top" wrapText="1" readingOrder="1"/>
    </xf>
    <xf numFmtId="4" fontId="4" fillId="0" borderId="0" xfId="0" applyNumberFormat="1" applyFont="1" applyAlignment="1">
      <alignment vertical="center" wrapText="1" readingOrder="1"/>
    </xf>
    <xf numFmtId="0" fontId="0" fillId="0" borderId="0" xfId="0" applyAlignment="1">
      <alignment wrapText="1"/>
    </xf>
    <xf numFmtId="4" fontId="0" fillId="0" borderId="0" xfId="0" applyNumberFormat="1" applyAlignment="1">
      <alignment vertical="top" wrapText="1" readingOrder="1"/>
    </xf>
    <xf numFmtId="0" fontId="3" fillId="0" borderId="0" xfId="0" applyFont="1" applyAlignment="1">
      <alignment vertical="top" wrapText="1" readingOrder="1"/>
    </xf>
    <xf numFmtId="0" fontId="1" fillId="5" borderId="0" xfId="0" applyFont="1" applyFill="1"/>
    <xf numFmtId="4" fontId="1" fillId="5"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Needs Review&apos;!A1" TargetMode="External"/><Relationship Id="rId2" Type="http://schemas.openxmlformats.org/officeDocument/2006/relationships/hyperlink" Target="#&apos;Review Sign-off&apos;!A1" TargetMode="External"/><Relationship Id="rId3" Type="http://schemas.openxmlformats.org/officeDocument/2006/relationships/hyperlink" Target="#&apos;Export Metadata&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arsed Supplier Source&apos;!A17" TargetMode="External"/><Relationship Id="rId2" Type="http://schemas.openxmlformats.org/officeDocument/2006/relationships/hyperlink" Target="#&apos;Parsed Ledger Source&apos;!A17" TargetMode="External"/><Relationship Id="rId3" Type="http://schemas.openxmlformats.org/officeDocument/2006/relationships/hyperlink" Target="#&apos;Parsed Supplier Source&apos;!A27" TargetMode="External"/><Relationship Id="rId4" Type="http://schemas.openxmlformats.org/officeDocument/2006/relationships/hyperlink" Target="#&apos;Parsed Ledger Source&apos;!A27" TargetMode="External"/><Relationship Id="rId5" Type="http://schemas.openxmlformats.org/officeDocument/2006/relationships/hyperlink" Target="#&apos;Parsed Supplier Source&apos;!A37" TargetMode="External"/><Relationship Id="rId6" Type="http://schemas.openxmlformats.org/officeDocument/2006/relationships/hyperlink" Target="#&apos;Parsed Ledger Source&apos;!A37" TargetMode="External"/><Relationship Id="rId7" Type="http://schemas.openxmlformats.org/officeDocument/2006/relationships/hyperlink" Target="#&apos;Parsed Supplier Source&apos;!A47" TargetMode="External"/><Relationship Id="rId8" Type="http://schemas.openxmlformats.org/officeDocument/2006/relationships/hyperlink" Target="#&apos;Parsed Ledger Source&apos;!A47" TargetMode="External"/><Relationship Id="rId9" Type="http://schemas.openxmlformats.org/officeDocument/2006/relationships/hyperlink" Target="#&apos;Parsed Supplier Source&apos;!A57" TargetMode="External"/><Relationship Id="rId10" Type="http://schemas.openxmlformats.org/officeDocument/2006/relationships/hyperlink" Target="#&apos;Parsed Ledger Source&apos;!A57" TargetMode="External"/><Relationship Id="rId11" Type="http://schemas.openxmlformats.org/officeDocument/2006/relationships/hyperlink" Target="#&apos;Parsed Supplier Source&apos;!A67" TargetMode="External"/><Relationship Id="rId12" Type="http://schemas.openxmlformats.org/officeDocument/2006/relationships/hyperlink" Target="#&apos;Parsed Ledger Source&apos;!A67" TargetMode="External"/><Relationship Id="rId13" Type="http://schemas.openxmlformats.org/officeDocument/2006/relationships/hyperlink" Target="#&apos;Parsed Supplier Source&apos;!A77" TargetMode="External"/><Relationship Id="rId14" Type="http://schemas.openxmlformats.org/officeDocument/2006/relationships/hyperlink" Target="#&apos;Parsed Ledger Source&apos;!A77" TargetMode="External"/><Relationship Id="rId15" Type="http://schemas.openxmlformats.org/officeDocument/2006/relationships/hyperlink" Target="#&apos;Parsed Supplier Source&apos;!A87" TargetMode="External"/><Relationship Id="rId16" Type="http://schemas.openxmlformats.org/officeDocument/2006/relationships/hyperlink" Target="#&apos;Parsed Ledger Source&apos;!A87" TargetMode="External"/><Relationship Id="rId17" Type="http://schemas.openxmlformats.org/officeDocument/2006/relationships/hyperlink" Target="#&apos;Parsed Supplier Source&apos;!A97" TargetMode="External"/><Relationship Id="rId18" Type="http://schemas.openxmlformats.org/officeDocument/2006/relationships/hyperlink" Target="#&apos;Parsed Ledger Source&apos;!A97" TargetMode="External"/><Relationship Id="rId19" Type="http://schemas.openxmlformats.org/officeDocument/2006/relationships/hyperlink" Target="#&apos;Parsed Supplier Source&apos;!A107" TargetMode="External"/><Relationship Id="rId20" Type="http://schemas.openxmlformats.org/officeDocument/2006/relationships/hyperlink" Target="#&apos;Parsed Ledger Source&apos;!A107" TargetMode="External"/><Relationship Id="rId21" Type="http://schemas.openxmlformats.org/officeDocument/2006/relationships/hyperlink" Target="#&apos;Parsed Supplier Source&apos;!A8" TargetMode="External"/><Relationship Id="rId22" Type="http://schemas.openxmlformats.org/officeDocument/2006/relationships/hyperlink" Target="#&apos;Parsed Ledger Source&apos;!A8" TargetMode="External"/><Relationship Id="rId23" Type="http://schemas.openxmlformats.org/officeDocument/2006/relationships/hyperlink" Target="#&apos;Parsed Ledger Source&apos;!A9" TargetMode="External"/><Relationship Id="rId24" Type="http://schemas.openxmlformats.org/officeDocument/2006/relationships/hyperlink" Target="#&apos;Parsed Ledger Source&apos;!A10" TargetMode="External"/><Relationship Id="rId25" Type="http://schemas.openxmlformats.org/officeDocument/2006/relationships/hyperlink" Target="#&apos;Parsed Supplier Source&apos;!A9" TargetMode="External"/><Relationship Id="rId26" Type="http://schemas.openxmlformats.org/officeDocument/2006/relationships/hyperlink" Target="#&apos;Parsed Supplier Source&apos;!A10" TargetMode="External"/><Relationship Id="rId27" Type="http://schemas.openxmlformats.org/officeDocument/2006/relationships/hyperlink" Target="#&apos;Parsed Supplier Source&apos;!A11" TargetMode="External"/><Relationship Id="rId28" Type="http://schemas.openxmlformats.org/officeDocument/2006/relationships/hyperlink" Target="#&apos;Parsed Ledger Source&apos;!A11" TargetMode="External"/><Relationship Id="rId29" Type="http://schemas.openxmlformats.org/officeDocument/2006/relationships/hyperlink" Target="#&apos;Parsed Supplier Source&apos;!A12" TargetMode="External"/><Relationship Id="rId30" Type="http://schemas.openxmlformats.org/officeDocument/2006/relationships/hyperlink" Target="#&apos;Parsed Ledger Source&apos;!A12" TargetMode="External"/><Relationship Id="rId31" Type="http://schemas.openxmlformats.org/officeDocument/2006/relationships/hyperlink" Target="#&apos;Parsed Ledger Source&apos;!A13" TargetMode="External"/><Relationship Id="rId32" Type="http://schemas.openxmlformats.org/officeDocument/2006/relationships/hyperlink" Target="#&apos;Parsed Supplier Source&apos;!A13" TargetMode="External"/><Relationship Id="rId33" Type="http://schemas.openxmlformats.org/officeDocument/2006/relationships/hyperlink" Target="#&apos;Parsed Supplier Source&apos;!A14" TargetMode="External"/><Relationship Id="rId34" Type="http://schemas.openxmlformats.org/officeDocument/2006/relationships/hyperlink" Target="#&apos;Parsed Ledger Source&apos;!A14" TargetMode="External"/><Relationship Id="rId35" Type="http://schemas.openxmlformats.org/officeDocument/2006/relationships/hyperlink" Target="#&apos;Parsed Supplier Source&apos;!A18" TargetMode="External"/><Relationship Id="rId36" Type="http://schemas.openxmlformats.org/officeDocument/2006/relationships/hyperlink" Target="#&apos;Parsed Ledger Source&apos;!A18" TargetMode="External"/><Relationship Id="rId37" Type="http://schemas.openxmlformats.org/officeDocument/2006/relationships/hyperlink" Target="#&apos;Parsed Ledger Source&apos;!A19" TargetMode="External"/><Relationship Id="rId38" Type="http://schemas.openxmlformats.org/officeDocument/2006/relationships/hyperlink" Target="#&apos;Parsed Ledger Source&apos;!A20" TargetMode="External"/><Relationship Id="rId39" Type="http://schemas.openxmlformats.org/officeDocument/2006/relationships/hyperlink" Target="#&apos;Parsed Supplier Source&apos;!A19" TargetMode="External"/><Relationship Id="rId40" Type="http://schemas.openxmlformats.org/officeDocument/2006/relationships/hyperlink" Target="#&apos;Parsed Supplier Source&apos;!A20" TargetMode="External"/><Relationship Id="rId41" Type="http://schemas.openxmlformats.org/officeDocument/2006/relationships/hyperlink" Target="#&apos;Parsed Supplier Source&apos;!A21" TargetMode="External"/><Relationship Id="rId42" Type="http://schemas.openxmlformats.org/officeDocument/2006/relationships/hyperlink" Target="#&apos;Parsed Ledger Source&apos;!A21" TargetMode="External"/><Relationship Id="rId43" Type="http://schemas.openxmlformats.org/officeDocument/2006/relationships/hyperlink" Target="#&apos;Parsed Supplier Source&apos;!A22" TargetMode="External"/><Relationship Id="rId44" Type="http://schemas.openxmlformats.org/officeDocument/2006/relationships/hyperlink" Target="#&apos;Parsed Ledger Source&apos;!A22" TargetMode="External"/><Relationship Id="rId45" Type="http://schemas.openxmlformats.org/officeDocument/2006/relationships/hyperlink" Target="#&apos;Parsed Ledger Source&apos;!A23" TargetMode="External"/><Relationship Id="rId46" Type="http://schemas.openxmlformats.org/officeDocument/2006/relationships/hyperlink" Target="#&apos;Parsed Supplier Source&apos;!A23" TargetMode="External"/><Relationship Id="rId47" Type="http://schemas.openxmlformats.org/officeDocument/2006/relationships/hyperlink" Target="#&apos;Parsed Supplier Source&apos;!A24" TargetMode="External"/><Relationship Id="rId48" Type="http://schemas.openxmlformats.org/officeDocument/2006/relationships/hyperlink" Target="#&apos;Parsed Ledger Source&apos;!A24" TargetMode="External"/><Relationship Id="rId49" Type="http://schemas.openxmlformats.org/officeDocument/2006/relationships/hyperlink" Target="#&apos;Parsed Supplier Source&apos;!A28" TargetMode="External"/><Relationship Id="rId50" Type="http://schemas.openxmlformats.org/officeDocument/2006/relationships/hyperlink" Target="#&apos;Parsed Ledger Source&apos;!A28" TargetMode="External"/><Relationship Id="rId51" Type="http://schemas.openxmlformats.org/officeDocument/2006/relationships/hyperlink" Target="#&apos;Parsed Ledger Source&apos;!A29" TargetMode="External"/><Relationship Id="rId52" Type="http://schemas.openxmlformats.org/officeDocument/2006/relationships/hyperlink" Target="#&apos;Parsed Ledger Source&apos;!A30" TargetMode="External"/><Relationship Id="rId53" Type="http://schemas.openxmlformats.org/officeDocument/2006/relationships/hyperlink" Target="#&apos;Parsed Supplier Source&apos;!A29" TargetMode="External"/><Relationship Id="rId54" Type="http://schemas.openxmlformats.org/officeDocument/2006/relationships/hyperlink" Target="#&apos;Parsed Supplier Source&apos;!A30" TargetMode="External"/><Relationship Id="rId55" Type="http://schemas.openxmlformats.org/officeDocument/2006/relationships/hyperlink" Target="#&apos;Parsed Supplier Source&apos;!A31" TargetMode="External"/><Relationship Id="rId56" Type="http://schemas.openxmlformats.org/officeDocument/2006/relationships/hyperlink" Target="#&apos;Parsed Ledger Source&apos;!A31" TargetMode="External"/><Relationship Id="rId57" Type="http://schemas.openxmlformats.org/officeDocument/2006/relationships/hyperlink" Target="#&apos;Parsed Supplier Source&apos;!A32" TargetMode="External"/><Relationship Id="rId58" Type="http://schemas.openxmlformats.org/officeDocument/2006/relationships/hyperlink" Target="#&apos;Parsed Ledger Source&apos;!A32" TargetMode="External"/><Relationship Id="rId59" Type="http://schemas.openxmlformats.org/officeDocument/2006/relationships/hyperlink" Target="#&apos;Parsed Ledger Source&apos;!A33" TargetMode="External"/><Relationship Id="rId60" Type="http://schemas.openxmlformats.org/officeDocument/2006/relationships/hyperlink" Target="#&apos;Parsed Supplier Source&apos;!A33" TargetMode="External"/><Relationship Id="rId61" Type="http://schemas.openxmlformats.org/officeDocument/2006/relationships/hyperlink" Target="#&apos;Parsed Supplier Source&apos;!A34" TargetMode="External"/><Relationship Id="rId62" Type="http://schemas.openxmlformats.org/officeDocument/2006/relationships/hyperlink" Target="#&apos;Parsed Ledger Source&apos;!A34" TargetMode="External"/><Relationship Id="rId63" Type="http://schemas.openxmlformats.org/officeDocument/2006/relationships/hyperlink" Target="#&apos;Parsed Supplier Source&apos;!A38" TargetMode="External"/><Relationship Id="rId64" Type="http://schemas.openxmlformats.org/officeDocument/2006/relationships/hyperlink" Target="#&apos;Parsed Ledger Source&apos;!A38" TargetMode="External"/><Relationship Id="rId65" Type="http://schemas.openxmlformats.org/officeDocument/2006/relationships/hyperlink" Target="#&apos;Parsed Ledger Source&apos;!A39" TargetMode="External"/><Relationship Id="rId66" Type="http://schemas.openxmlformats.org/officeDocument/2006/relationships/hyperlink" Target="#&apos;Parsed Ledger Source&apos;!A40" TargetMode="External"/><Relationship Id="rId67" Type="http://schemas.openxmlformats.org/officeDocument/2006/relationships/hyperlink" Target="#&apos;Parsed Supplier Source&apos;!A39" TargetMode="External"/><Relationship Id="rId68" Type="http://schemas.openxmlformats.org/officeDocument/2006/relationships/hyperlink" Target="#&apos;Parsed Supplier Source&apos;!A40" TargetMode="External"/><Relationship Id="rId69" Type="http://schemas.openxmlformats.org/officeDocument/2006/relationships/hyperlink" Target="#&apos;Parsed Supplier Source&apos;!A41" TargetMode="External"/><Relationship Id="rId70" Type="http://schemas.openxmlformats.org/officeDocument/2006/relationships/hyperlink" Target="#&apos;Parsed Ledger Source&apos;!A41" TargetMode="External"/><Relationship Id="rId71" Type="http://schemas.openxmlformats.org/officeDocument/2006/relationships/hyperlink" Target="#&apos;Parsed Supplier Source&apos;!A42" TargetMode="External"/><Relationship Id="rId72" Type="http://schemas.openxmlformats.org/officeDocument/2006/relationships/hyperlink" Target="#&apos;Parsed Ledger Source&apos;!A42" TargetMode="External"/><Relationship Id="rId73" Type="http://schemas.openxmlformats.org/officeDocument/2006/relationships/hyperlink" Target="#&apos;Parsed Ledger Source&apos;!A43" TargetMode="External"/><Relationship Id="rId74" Type="http://schemas.openxmlformats.org/officeDocument/2006/relationships/hyperlink" Target="#&apos;Parsed Supplier Source&apos;!A43" TargetMode="External"/><Relationship Id="rId75" Type="http://schemas.openxmlformats.org/officeDocument/2006/relationships/hyperlink" Target="#&apos;Parsed Supplier Source&apos;!A44" TargetMode="External"/><Relationship Id="rId76" Type="http://schemas.openxmlformats.org/officeDocument/2006/relationships/hyperlink" Target="#&apos;Parsed Ledger Source&apos;!A44" TargetMode="External"/><Relationship Id="rId77" Type="http://schemas.openxmlformats.org/officeDocument/2006/relationships/hyperlink" Target="#&apos;Parsed Supplier Source&apos;!A48" TargetMode="External"/><Relationship Id="rId78" Type="http://schemas.openxmlformats.org/officeDocument/2006/relationships/hyperlink" Target="#&apos;Parsed Ledger Source&apos;!A48" TargetMode="External"/><Relationship Id="rId79" Type="http://schemas.openxmlformats.org/officeDocument/2006/relationships/hyperlink" Target="#&apos;Parsed Ledger Source&apos;!A49" TargetMode="External"/><Relationship Id="rId80" Type="http://schemas.openxmlformats.org/officeDocument/2006/relationships/hyperlink" Target="#&apos;Parsed Ledger Source&apos;!A50" TargetMode="External"/><Relationship Id="rId81" Type="http://schemas.openxmlformats.org/officeDocument/2006/relationships/hyperlink" Target="#&apos;Parsed Supplier Source&apos;!A49" TargetMode="External"/><Relationship Id="rId82" Type="http://schemas.openxmlformats.org/officeDocument/2006/relationships/hyperlink" Target="#&apos;Parsed Supplier Source&apos;!A50" TargetMode="External"/><Relationship Id="rId83" Type="http://schemas.openxmlformats.org/officeDocument/2006/relationships/hyperlink" Target="#&apos;Parsed Supplier Source&apos;!A51" TargetMode="External"/><Relationship Id="rId84" Type="http://schemas.openxmlformats.org/officeDocument/2006/relationships/hyperlink" Target="#&apos;Parsed Ledger Source&apos;!A51" TargetMode="External"/><Relationship Id="rId85" Type="http://schemas.openxmlformats.org/officeDocument/2006/relationships/hyperlink" Target="#&apos;Parsed Supplier Source&apos;!A52" TargetMode="External"/><Relationship Id="rId86" Type="http://schemas.openxmlformats.org/officeDocument/2006/relationships/hyperlink" Target="#&apos;Parsed Ledger Source&apos;!A52" TargetMode="External"/><Relationship Id="rId87" Type="http://schemas.openxmlformats.org/officeDocument/2006/relationships/hyperlink" Target="#&apos;Parsed Ledger Source&apos;!A53" TargetMode="External"/><Relationship Id="rId88" Type="http://schemas.openxmlformats.org/officeDocument/2006/relationships/hyperlink" Target="#&apos;Parsed Supplier Source&apos;!A53" TargetMode="External"/><Relationship Id="rId89" Type="http://schemas.openxmlformats.org/officeDocument/2006/relationships/hyperlink" Target="#&apos;Parsed Supplier Source&apos;!A54" TargetMode="External"/><Relationship Id="rId90" Type="http://schemas.openxmlformats.org/officeDocument/2006/relationships/hyperlink" Target="#&apos;Parsed Ledger Source&apos;!A54" TargetMode="External"/><Relationship Id="rId91" Type="http://schemas.openxmlformats.org/officeDocument/2006/relationships/hyperlink" Target="#&apos;Parsed Supplier Source&apos;!A58" TargetMode="External"/><Relationship Id="rId92" Type="http://schemas.openxmlformats.org/officeDocument/2006/relationships/hyperlink" Target="#&apos;Parsed Ledger Source&apos;!A58" TargetMode="External"/><Relationship Id="rId93" Type="http://schemas.openxmlformats.org/officeDocument/2006/relationships/hyperlink" Target="#&apos;Parsed Ledger Source&apos;!A59" TargetMode="External"/><Relationship Id="rId94" Type="http://schemas.openxmlformats.org/officeDocument/2006/relationships/hyperlink" Target="#&apos;Parsed Ledger Source&apos;!A60" TargetMode="External"/><Relationship Id="rId95" Type="http://schemas.openxmlformats.org/officeDocument/2006/relationships/hyperlink" Target="#&apos;Parsed Supplier Source&apos;!A59" TargetMode="External"/><Relationship Id="rId96" Type="http://schemas.openxmlformats.org/officeDocument/2006/relationships/hyperlink" Target="#&apos;Parsed Supplier Source&apos;!A60" TargetMode="External"/><Relationship Id="rId97" Type="http://schemas.openxmlformats.org/officeDocument/2006/relationships/hyperlink" Target="#&apos;Parsed Supplier Source&apos;!A61" TargetMode="External"/><Relationship Id="rId98" Type="http://schemas.openxmlformats.org/officeDocument/2006/relationships/hyperlink" Target="#&apos;Parsed Ledger Source&apos;!A61" TargetMode="External"/><Relationship Id="rId99" Type="http://schemas.openxmlformats.org/officeDocument/2006/relationships/hyperlink" Target="#&apos;Parsed Supplier Source&apos;!A62" TargetMode="External"/><Relationship Id="rId100" Type="http://schemas.openxmlformats.org/officeDocument/2006/relationships/hyperlink" Target="#&apos;Parsed Ledger Source&apos;!A62" TargetMode="External"/><Relationship Id="rId101" Type="http://schemas.openxmlformats.org/officeDocument/2006/relationships/hyperlink" Target="#&apos;Parsed Ledger Source&apos;!A63" TargetMode="External"/><Relationship Id="rId102" Type="http://schemas.openxmlformats.org/officeDocument/2006/relationships/hyperlink" Target="#&apos;Parsed Supplier Source&apos;!A63" TargetMode="External"/><Relationship Id="rId103" Type="http://schemas.openxmlformats.org/officeDocument/2006/relationships/hyperlink" Target="#&apos;Parsed Supplier Source&apos;!A64" TargetMode="External"/><Relationship Id="rId104" Type="http://schemas.openxmlformats.org/officeDocument/2006/relationships/hyperlink" Target="#&apos;Parsed Ledger Source&apos;!A64" TargetMode="External"/><Relationship Id="rId105" Type="http://schemas.openxmlformats.org/officeDocument/2006/relationships/hyperlink" Target="#&apos;Parsed Supplier Source&apos;!A68" TargetMode="External"/><Relationship Id="rId106" Type="http://schemas.openxmlformats.org/officeDocument/2006/relationships/hyperlink" Target="#&apos;Parsed Ledger Source&apos;!A68" TargetMode="External"/><Relationship Id="rId107" Type="http://schemas.openxmlformats.org/officeDocument/2006/relationships/hyperlink" Target="#&apos;Parsed Ledger Source&apos;!A69" TargetMode="External"/><Relationship Id="rId108" Type="http://schemas.openxmlformats.org/officeDocument/2006/relationships/hyperlink" Target="#&apos;Parsed Ledger Source&apos;!A70" TargetMode="External"/><Relationship Id="rId109" Type="http://schemas.openxmlformats.org/officeDocument/2006/relationships/hyperlink" Target="#&apos;Parsed Supplier Source&apos;!A69" TargetMode="External"/><Relationship Id="rId110" Type="http://schemas.openxmlformats.org/officeDocument/2006/relationships/hyperlink" Target="#&apos;Parsed Supplier Source&apos;!A70" TargetMode="External"/><Relationship Id="rId111" Type="http://schemas.openxmlformats.org/officeDocument/2006/relationships/hyperlink" Target="#&apos;Parsed Supplier Source&apos;!A71" TargetMode="External"/><Relationship Id="rId112" Type="http://schemas.openxmlformats.org/officeDocument/2006/relationships/hyperlink" Target="#&apos;Parsed Ledger Source&apos;!A71" TargetMode="External"/><Relationship Id="rId113" Type="http://schemas.openxmlformats.org/officeDocument/2006/relationships/hyperlink" Target="#&apos;Parsed Supplier Source&apos;!A72" TargetMode="External"/><Relationship Id="rId114" Type="http://schemas.openxmlformats.org/officeDocument/2006/relationships/hyperlink" Target="#&apos;Parsed Ledger Source&apos;!A72" TargetMode="External"/><Relationship Id="rId115" Type="http://schemas.openxmlformats.org/officeDocument/2006/relationships/hyperlink" Target="#&apos;Parsed Ledger Source&apos;!A73" TargetMode="External"/><Relationship Id="rId116" Type="http://schemas.openxmlformats.org/officeDocument/2006/relationships/hyperlink" Target="#&apos;Parsed Supplier Source&apos;!A73" TargetMode="External"/><Relationship Id="rId117" Type="http://schemas.openxmlformats.org/officeDocument/2006/relationships/hyperlink" Target="#&apos;Parsed Supplier Source&apos;!A74" TargetMode="External"/><Relationship Id="rId118" Type="http://schemas.openxmlformats.org/officeDocument/2006/relationships/hyperlink" Target="#&apos;Parsed Ledger Source&apos;!A74" TargetMode="External"/><Relationship Id="rId119" Type="http://schemas.openxmlformats.org/officeDocument/2006/relationships/hyperlink" Target="#&apos;Parsed Supplier Source&apos;!A78" TargetMode="External"/><Relationship Id="rId120" Type="http://schemas.openxmlformats.org/officeDocument/2006/relationships/hyperlink" Target="#&apos;Parsed Ledger Source&apos;!A78" TargetMode="External"/><Relationship Id="rId121" Type="http://schemas.openxmlformats.org/officeDocument/2006/relationships/hyperlink" Target="#&apos;Parsed Ledger Source&apos;!A79" TargetMode="External"/><Relationship Id="rId122" Type="http://schemas.openxmlformats.org/officeDocument/2006/relationships/hyperlink" Target="#&apos;Parsed Ledger Source&apos;!A80" TargetMode="External"/><Relationship Id="rId123" Type="http://schemas.openxmlformats.org/officeDocument/2006/relationships/hyperlink" Target="#&apos;Parsed Supplier Source&apos;!A79" TargetMode="External"/><Relationship Id="rId124" Type="http://schemas.openxmlformats.org/officeDocument/2006/relationships/hyperlink" Target="#&apos;Parsed Supplier Source&apos;!A80" TargetMode="External"/><Relationship Id="rId125" Type="http://schemas.openxmlformats.org/officeDocument/2006/relationships/hyperlink" Target="#&apos;Parsed Supplier Source&apos;!A81" TargetMode="External"/><Relationship Id="rId126" Type="http://schemas.openxmlformats.org/officeDocument/2006/relationships/hyperlink" Target="#&apos;Parsed Ledger Source&apos;!A81" TargetMode="External"/><Relationship Id="rId127" Type="http://schemas.openxmlformats.org/officeDocument/2006/relationships/hyperlink" Target="#&apos;Parsed Supplier Source&apos;!A82" TargetMode="External"/><Relationship Id="rId128" Type="http://schemas.openxmlformats.org/officeDocument/2006/relationships/hyperlink" Target="#&apos;Parsed Ledger Source&apos;!A82" TargetMode="External"/><Relationship Id="rId129" Type="http://schemas.openxmlformats.org/officeDocument/2006/relationships/hyperlink" Target="#&apos;Parsed Ledger Source&apos;!A83" TargetMode="External"/><Relationship Id="rId130" Type="http://schemas.openxmlformats.org/officeDocument/2006/relationships/hyperlink" Target="#&apos;Parsed Supplier Source&apos;!A83" TargetMode="External"/><Relationship Id="rId131" Type="http://schemas.openxmlformats.org/officeDocument/2006/relationships/hyperlink" Target="#&apos;Parsed Supplier Source&apos;!A84" TargetMode="External"/><Relationship Id="rId132" Type="http://schemas.openxmlformats.org/officeDocument/2006/relationships/hyperlink" Target="#&apos;Parsed Ledger Source&apos;!A84" TargetMode="External"/><Relationship Id="rId133" Type="http://schemas.openxmlformats.org/officeDocument/2006/relationships/hyperlink" Target="#&apos;Parsed Supplier Source&apos;!A88" TargetMode="External"/><Relationship Id="rId134" Type="http://schemas.openxmlformats.org/officeDocument/2006/relationships/hyperlink" Target="#&apos;Parsed Ledger Source&apos;!A88" TargetMode="External"/><Relationship Id="rId135" Type="http://schemas.openxmlformats.org/officeDocument/2006/relationships/hyperlink" Target="#&apos;Parsed Ledger Source&apos;!A89" TargetMode="External"/><Relationship Id="rId136" Type="http://schemas.openxmlformats.org/officeDocument/2006/relationships/hyperlink" Target="#&apos;Parsed Ledger Source&apos;!A90" TargetMode="External"/><Relationship Id="rId137" Type="http://schemas.openxmlformats.org/officeDocument/2006/relationships/hyperlink" Target="#&apos;Parsed Supplier Source&apos;!A89" TargetMode="External"/><Relationship Id="rId138" Type="http://schemas.openxmlformats.org/officeDocument/2006/relationships/hyperlink" Target="#&apos;Parsed Supplier Source&apos;!A90" TargetMode="External"/><Relationship Id="rId139" Type="http://schemas.openxmlformats.org/officeDocument/2006/relationships/hyperlink" Target="#&apos;Parsed Supplier Source&apos;!A91" TargetMode="External"/><Relationship Id="rId140" Type="http://schemas.openxmlformats.org/officeDocument/2006/relationships/hyperlink" Target="#&apos;Parsed Ledger Source&apos;!A91" TargetMode="External"/><Relationship Id="rId141" Type="http://schemas.openxmlformats.org/officeDocument/2006/relationships/hyperlink" Target="#&apos;Parsed Supplier Source&apos;!A92" TargetMode="External"/><Relationship Id="rId142" Type="http://schemas.openxmlformats.org/officeDocument/2006/relationships/hyperlink" Target="#&apos;Parsed Ledger Source&apos;!A92" TargetMode="External"/><Relationship Id="rId143" Type="http://schemas.openxmlformats.org/officeDocument/2006/relationships/hyperlink" Target="#&apos;Parsed Ledger Source&apos;!A93" TargetMode="External"/><Relationship Id="rId144" Type="http://schemas.openxmlformats.org/officeDocument/2006/relationships/hyperlink" Target="#&apos;Parsed Supplier Source&apos;!A93" TargetMode="External"/><Relationship Id="rId145" Type="http://schemas.openxmlformats.org/officeDocument/2006/relationships/hyperlink" Target="#&apos;Parsed Supplier Source&apos;!A94" TargetMode="External"/><Relationship Id="rId146" Type="http://schemas.openxmlformats.org/officeDocument/2006/relationships/hyperlink" Target="#&apos;Parsed Ledger Source&apos;!A94" TargetMode="External"/><Relationship Id="rId147" Type="http://schemas.openxmlformats.org/officeDocument/2006/relationships/hyperlink" Target="#&apos;Parsed Supplier Source&apos;!A98" TargetMode="External"/><Relationship Id="rId148" Type="http://schemas.openxmlformats.org/officeDocument/2006/relationships/hyperlink" Target="#&apos;Parsed Ledger Source&apos;!A98" TargetMode="External"/><Relationship Id="rId149" Type="http://schemas.openxmlformats.org/officeDocument/2006/relationships/hyperlink" Target="#&apos;Parsed Ledger Source&apos;!A99" TargetMode="External"/><Relationship Id="rId150" Type="http://schemas.openxmlformats.org/officeDocument/2006/relationships/hyperlink" Target="#&apos;Parsed Ledger Source&apos;!A100" TargetMode="External"/><Relationship Id="rId151" Type="http://schemas.openxmlformats.org/officeDocument/2006/relationships/hyperlink" Target="#&apos;Parsed Supplier Source&apos;!A99" TargetMode="External"/><Relationship Id="rId152" Type="http://schemas.openxmlformats.org/officeDocument/2006/relationships/hyperlink" Target="#&apos;Parsed Supplier Source&apos;!A100" TargetMode="External"/><Relationship Id="rId153" Type="http://schemas.openxmlformats.org/officeDocument/2006/relationships/hyperlink" Target="#&apos;Parsed Supplier Source&apos;!A101" TargetMode="External"/><Relationship Id="rId154" Type="http://schemas.openxmlformats.org/officeDocument/2006/relationships/hyperlink" Target="#&apos;Parsed Ledger Source&apos;!A101" TargetMode="External"/><Relationship Id="rId155" Type="http://schemas.openxmlformats.org/officeDocument/2006/relationships/hyperlink" Target="#&apos;Parsed Supplier Source&apos;!A102" TargetMode="External"/><Relationship Id="rId156" Type="http://schemas.openxmlformats.org/officeDocument/2006/relationships/hyperlink" Target="#&apos;Parsed Ledger Source&apos;!A102" TargetMode="External"/><Relationship Id="rId157" Type="http://schemas.openxmlformats.org/officeDocument/2006/relationships/hyperlink" Target="#&apos;Parsed Ledger Source&apos;!A103" TargetMode="External"/><Relationship Id="rId158" Type="http://schemas.openxmlformats.org/officeDocument/2006/relationships/hyperlink" Target="#&apos;Parsed Supplier Source&apos;!A103" TargetMode="External"/><Relationship Id="rId159" Type="http://schemas.openxmlformats.org/officeDocument/2006/relationships/hyperlink" Target="#&apos;Parsed Supplier Source&apos;!A104" TargetMode="External"/><Relationship Id="rId160" Type="http://schemas.openxmlformats.org/officeDocument/2006/relationships/hyperlink" Target="#&apos;Parsed Ledger Source&apos;!A104"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arsed Supplier Source&apos;!A15" TargetMode="External"/><Relationship Id="rId2" Type="http://schemas.openxmlformats.org/officeDocument/2006/relationships/hyperlink" Target="#&apos;Parsed Supplier Source&apos;!A16" TargetMode="External"/><Relationship Id="rId3" Type="http://schemas.openxmlformats.org/officeDocument/2006/relationships/hyperlink" Target="#&apos;Parsed Ledger Source&apos;!A15" TargetMode="External"/><Relationship Id="rId4" Type="http://schemas.openxmlformats.org/officeDocument/2006/relationships/hyperlink" Target="#&apos;Parsed Ledger Source&apos;!A16" TargetMode="External"/><Relationship Id="rId5" Type="http://schemas.openxmlformats.org/officeDocument/2006/relationships/hyperlink" Target="#&apos;Parsed Supplier Source&apos;!A25" TargetMode="External"/><Relationship Id="rId6" Type="http://schemas.openxmlformats.org/officeDocument/2006/relationships/hyperlink" Target="#&apos;Parsed Supplier Source&apos;!A26" TargetMode="External"/><Relationship Id="rId7" Type="http://schemas.openxmlformats.org/officeDocument/2006/relationships/hyperlink" Target="#&apos;Parsed Ledger Source&apos;!A25" TargetMode="External"/><Relationship Id="rId8" Type="http://schemas.openxmlformats.org/officeDocument/2006/relationships/hyperlink" Target="#&apos;Parsed Ledger Source&apos;!A26" TargetMode="External"/><Relationship Id="rId9" Type="http://schemas.openxmlformats.org/officeDocument/2006/relationships/hyperlink" Target="#&apos;Parsed Supplier Source&apos;!A35" TargetMode="External"/><Relationship Id="rId10" Type="http://schemas.openxmlformats.org/officeDocument/2006/relationships/hyperlink" Target="#&apos;Parsed Supplier Source&apos;!A36" TargetMode="External"/><Relationship Id="rId11" Type="http://schemas.openxmlformats.org/officeDocument/2006/relationships/hyperlink" Target="#&apos;Parsed Ledger Source&apos;!A35" TargetMode="External"/><Relationship Id="rId12" Type="http://schemas.openxmlformats.org/officeDocument/2006/relationships/hyperlink" Target="#&apos;Parsed Ledger Source&apos;!A36" TargetMode="External"/><Relationship Id="rId13" Type="http://schemas.openxmlformats.org/officeDocument/2006/relationships/hyperlink" Target="#&apos;Parsed Supplier Source&apos;!A45" TargetMode="External"/><Relationship Id="rId14" Type="http://schemas.openxmlformats.org/officeDocument/2006/relationships/hyperlink" Target="#&apos;Parsed Supplier Source&apos;!A46" TargetMode="External"/><Relationship Id="rId15" Type="http://schemas.openxmlformats.org/officeDocument/2006/relationships/hyperlink" Target="#&apos;Parsed Ledger Source&apos;!A45" TargetMode="External"/><Relationship Id="rId16" Type="http://schemas.openxmlformats.org/officeDocument/2006/relationships/hyperlink" Target="#&apos;Parsed Ledger Source&apos;!A46" TargetMode="External"/><Relationship Id="rId17" Type="http://schemas.openxmlformats.org/officeDocument/2006/relationships/hyperlink" Target="#&apos;Parsed Supplier Source&apos;!A55" TargetMode="External"/><Relationship Id="rId18" Type="http://schemas.openxmlformats.org/officeDocument/2006/relationships/hyperlink" Target="#&apos;Parsed Supplier Source&apos;!A56" TargetMode="External"/><Relationship Id="rId19" Type="http://schemas.openxmlformats.org/officeDocument/2006/relationships/hyperlink" Target="#&apos;Parsed Ledger Source&apos;!A55" TargetMode="External"/><Relationship Id="rId20" Type="http://schemas.openxmlformats.org/officeDocument/2006/relationships/hyperlink" Target="#&apos;Parsed Ledger Source&apos;!A56" TargetMode="External"/><Relationship Id="rId21" Type="http://schemas.openxmlformats.org/officeDocument/2006/relationships/hyperlink" Target="#&apos;Parsed Supplier Source&apos;!A65" TargetMode="External"/><Relationship Id="rId22" Type="http://schemas.openxmlformats.org/officeDocument/2006/relationships/hyperlink" Target="#&apos;Parsed Supplier Source&apos;!A66" TargetMode="External"/><Relationship Id="rId23" Type="http://schemas.openxmlformats.org/officeDocument/2006/relationships/hyperlink" Target="#&apos;Parsed Ledger Source&apos;!A65" TargetMode="External"/><Relationship Id="rId24" Type="http://schemas.openxmlformats.org/officeDocument/2006/relationships/hyperlink" Target="#&apos;Parsed Ledger Source&apos;!A66" TargetMode="External"/><Relationship Id="rId25" Type="http://schemas.openxmlformats.org/officeDocument/2006/relationships/hyperlink" Target="#&apos;Parsed Supplier Source&apos;!A75" TargetMode="External"/><Relationship Id="rId26" Type="http://schemas.openxmlformats.org/officeDocument/2006/relationships/hyperlink" Target="#&apos;Parsed Supplier Source&apos;!A76" TargetMode="External"/><Relationship Id="rId27" Type="http://schemas.openxmlformats.org/officeDocument/2006/relationships/hyperlink" Target="#&apos;Parsed Ledger Source&apos;!A75" TargetMode="External"/><Relationship Id="rId28" Type="http://schemas.openxmlformats.org/officeDocument/2006/relationships/hyperlink" Target="#&apos;Parsed Ledger Source&apos;!A76" TargetMode="External"/><Relationship Id="rId29" Type="http://schemas.openxmlformats.org/officeDocument/2006/relationships/hyperlink" Target="#&apos;Parsed Supplier Source&apos;!A85" TargetMode="External"/><Relationship Id="rId30" Type="http://schemas.openxmlformats.org/officeDocument/2006/relationships/hyperlink" Target="#&apos;Parsed Supplier Source&apos;!A86" TargetMode="External"/><Relationship Id="rId31" Type="http://schemas.openxmlformats.org/officeDocument/2006/relationships/hyperlink" Target="#&apos;Parsed Ledger Source&apos;!A85" TargetMode="External"/><Relationship Id="rId32" Type="http://schemas.openxmlformats.org/officeDocument/2006/relationships/hyperlink" Target="#&apos;Parsed Ledger Source&apos;!A86" TargetMode="External"/><Relationship Id="rId33" Type="http://schemas.openxmlformats.org/officeDocument/2006/relationships/hyperlink" Target="#&apos;Parsed Supplier Source&apos;!A95" TargetMode="External"/><Relationship Id="rId34" Type="http://schemas.openxmlformats.org/officeDocument/2006/relationships/hyperlink" Target="#&apos;Parsed Supplier Source&apos;!A96" TargetMode="External"/><Relationship Id="rId35" Type="http://schemas.openxmlformats.org/officeDocument/2006/relationships/hyperlink" Target="#&apos;Parsed Ledger Source&apos;!A95" TargetMode="External"/><Relationship Id="rId36" Type="http://schemas.openxmlformats.org/officeDocument/2006/relationships/hyperlink" Target="#&apos;Parsed Ledger Source&apos;!A96" TargetMode="External"/><Relationship Id="rId37" Type="http://schemas.openxmlformats.org/officeDocument/2006/relationships/hyperlink" Target="#&apos;Parsed Supplier Source&apos;!A105" TargetMode="External"/><Relationship Id="rId38" Type="http://schemas.openxmlformats.org/officeDocument/2006/relationships/hyperlink" Target="#&apos;Parsed Supplier Source&apos;!A106" TargetMode="External"/><Relationship Id="rId39" Type="http://schemas.openxmlformats.org/officeDocument/2006/relationships/hyperlink" Target="#&apos;Parsed Ledger Source&apos;!A105" TargetMode="External"/><Relationship Id="rId40" Type="http://schemas.openxmlformats.org/officeDocument/2006/relationships/hyperlink" Target="#&apos;Parsed Ledger Source&apos;!A106"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Needs Review&apos;!A2" TargetMode="External"/><Relationship Id="rId2" Type="http://schemas.openxmlformats.org/officeDocument/2006/relationships/hyperlink" Target="#&apos;Needs Review&apos;!A3" TargetMode="External"/><Relationship Id="rId3" Type="http://schemas.openxmlformats.org/officeDocument/2006/relationships/hyperlink" Target="#&apos;Needs Review&apos;!A4" TargetMode="External"/><Relationship Id="rId4" Type="http://schemas.openxmlformats.org/officeDocument/2006/relationships/hyperlink" Target="#&apos;Needs Review&apos;!A5" TargetMode="External"/><Relationship Id="rId5" Type="http://schemas.openxmlformats.org/officeDocument/2006/relationships/hyperlink" Target="#&apos;Needs Review&apos;!A6" TargetMode="External"/><Relationship Id="rId6" Type="http://schemas.openxmlformats.org/officeDocument/2006/relationships/hyperlink" Target="#&apos;Needs Review&apos;!A7" TargetMode="External"/><Relationship Id="rId7" Type="http://schemas.openxmlformats.org/officeDocument/2006/relationships/hyperlink" Target="#&apos;Needs Review&apos;!A8" TargetMode="External"/><Relationship Id="rId8" Type="http://schemas.openxmlformats.org/officeDocument/2006/relationships/hyperlink" Target="#&apos;Needs Review&apos;!A9" TargetMode="External"/><Relationship Id="rId9" Type="http://schemas.openxmlformats.org/officeDocument/2006/relationships/hyperlink" Target="#&apos;Needs Review&apos;!A10" TargetMode="External"/><Relationship Id="rId10" Type="http://schemas.openxmlformats.org/officeDocument/2006/relationships/hyperlink" Target="#&apos;Needs Review&apos;!A1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Review History&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arsed Supplier Source&apos;!A17" TargetMode="External"/><Relationship Id="rId2" Type="http://schemas.openxmlformats.org/officeDocument/2006/relationships/hyperlink" Target="#&apos;Parsed Ledger Source&apos;!A17" TargetMode="External"/><Relationship Id="rId3" Type="http://schemas.openxmlformats.org/officeDocument/2006/relationships/hyperlink" Target="#&apos;Parsed Supplier Source&apos;!A27" TargetMode="External"/><Relationship Id="rId4" Type="http://schemas.openxmlformats.org/officeDocument/2006/relationships/hyperlink" Target="#&apos;Parsed Ledger Source&apos;!A27" TargetMode="External"/><Relationship Id="rId5" Type="http://schemas.openxmlformats.org/officeDocument/2006/relationships/hyperlink" Target="#&apos;Parsed Supplier Source&apos;!A37" TargetMode="External"/><Relationship Id="rId6" Type="http://schemas.openxmlformats.org/officeDocument/2006/relationships/hyperlink" Target="#&apos;Parsed Ledger Source&apos;!A37" TargetMode="External"/><Relationship Id="rId7" Type="http://schemas.openxmlformats.org/officeDocument/2006/relationships/hyperlink" Target="#&apos;Parsed Supplier Source&apos;!A47" TargetMode="External"/><Relationship Id="rId8" Type="http://schemas.openxmlformats.org/officeDocument/2006/relationships/hyperlink" Target="#&apos;Parsed Ledger Source&apos;!A47" TargetMode="External"/><Relationship Id="rId9" Type="http://schemas.openxmlformats.org/officeDocument/2006/relationships/hyperlink" Target="#&apos;Parsed Supplier Source&apos;!A57" TargetMode="External"/><Relationship Id="rId10" Type="http://schemas.openxmlformats.org/officeDocument/2006/relationships/hyperlink" Target="#&apos;Parsed Ledger Source&apos;!A57" TargetMode="External"/><Relationship Id="rId11" Type="http://schemas.openxmlformats.org/officeDocument/2006/relationships/hyperlink" Target="#&apos;Parsed Supplier Source&apos;!A67" TargetMode="External"/><Relationship Id="rId12" Type="http://schemas.openxmlformats.org/officeDocument/2006/relationships/hyperlink" Target="#&apos;Parsed Ledger Source&apos;!A67" TargetMode="External"/><Relationship Id="rId13" Type="http://schemas.openxmlformats.org/officeDocument/2006/relationships/hyperlink" Target="#&apos;Parsed Supplier Source&apos;!A77" TargetMode="External"/><Relationship Id="rId14" Type="http://schemas.openxmlformats.org/officeDocument/2006/relationships/hyperlink" Target="#&apos;Parsed Ledger Source&apos;!A77" TargetMode="External"/><Relationship Id="rId15" Type="http://schemas.openxmlformats.org/officeDocument/2006/relationships/hyperlink" Target="#&apos;Parsed Supplier Source&apos;!A87" TargetMode="External"/><Relationship Id="rId16" Type="http://schemas.openxmlformats.org/officeDocument/2006/relationships/hyperlink" Target="#&apos;Parsed Ledger Source&apos;!A87" TargetMode="External"/><Relationship Id="rId17" Type="http://schemas.openxmlformats.org/officeDocument/2006/relationships/hyperlink" Target="#&apos;Parsed Supplier Source&apos;!A97" TargetMode="External"/><Relationship Id="rId18" Type="http://schemas.openxmlformats.org/officeDocument/2006/relationships/hyperlink" Target="#&apos;Parsed Ledger Source&apos;!A97" TargetMode="External"/><Relationship Id="rId19" Type="http://schemas.openxmlformats.org/officeDocument/2006/relationships/hyperlink" Target="#&apos;Parsed Supplier Source&apos;!A107" TargetMode="External"/><Relationship Id="rId20" Type="http://schemas.openxmlformats.org/officeDocument/2006/relationships/hyperlink" Target="#&apos;Parsed Ledger Source&apos;!A107" TargetMode="External"/><Relationship Id="rId21" Type="http://schemas.openxmlformats.org/officeDocument/2006/relationships/hyperlink" Target="#&apos;Parsed Supplier Source&apos;!A8" TargetMode="External"/><Relationship Id="rId22" Type="http://schemas.openxmlformats.org/officeDocument/2006/relationships/hyperlink" Target="#&apos;Parsed Ledger Source&apos;!A8" TargetMode="External"/><Relationship Id="rId23" Type="http://schemas.openxmlformats.org/officeDocument/2006/relationships/hyperlink" Target="#&apos;Parsed Ledger Source&apos;!A9" TargetMode="External"/><Relationship Id="rId24" Type="http://schemas.openxmlformats.org/officeDocument/2006/relationships/hyperlink" Target="#&apos;Parsed Ledger Source&apos;!A10" TargetMode="External"/><Relationship Id="rId25" Type="http://schemas.openxmlformats.org/officeDocument/2006/relationships/hyperlink" Target="#&apos;Parsed Supplier Source&apos;!A9" TargetMode="External"/><Relationship Id="rId26" Type="http://schemas.openxmlformats.org/officeDocument/2006/relationships/hyperlink" Target="#&apos;Parsed Supplier Source&apos;!A10" TargetMode="External"/><Relationship Id="rId27" Type="http://schemas.openxmlformats.org/officeDocument/2006/relationships/hyperlink" Target="#&apos;Parsed Supplier Source&apos;!A11" TargetMode="External"/><Relationship Id="rId28" Type="http://schemas.openxmlformats.org/officeDocument/2006/relationships/hyperlink" Target="#&apos;Parsed Ledger Source&apos;!A11" TargetMode="External"/><Relationship Id="rId29" Type="http://schemas.openxmlformats.org/officeDocument/2006/relationships/hyperlink" Target="#&apos;Parsed Supplier Source&apos;!A12" TargetMode="External"/><Relationship Id="rId30" Type="http://schemas.openxmlformats.org/officeDocument/2006/relationships/hyperlink" Target="#&apos;Parsed Ledger Source&apos;!A12" TargetMode="External"/><Relationship Id="rId31" Type="http://schemas.openxmlformats.org/officeDocument/2006/relationships/hyperlink" Target="#&apos;Parsed Ledger Source&apos;!A13" TargetMode="External"/><Relationship Id="rId32" Type="http://schemas.openxmlformats.org/officeDocument/2006/relationships/hyperlink" Target="#&apos;Parsed Supplier Source&apos;!A13" TargetMode="External"/><Relationship Id="rId33" Type="http://schemas.openxmlformats.org/officeDocument/2006/relationships/hyperlink" Target="#&apos;Parsed Supplier Source&apos;!A14" TargetMode="External"/><Relationship Id="rId34" Type="http://schemas.openxmlformats.org/officeDocument/2006/relationships/hyperlink" Target="#&apos;Parsed Ledger Source&apos;!A14" TargetMode="External"/><Relationship Id="rId35" Type="http://schemas.openxmlformats.org/officeDocument/2006/relationships/hyperlink" Target="#&apos;Parsed Supplier Source&apos;!A18" TargetMode="External"/><Relationship Id="rId36" Type="http://schemas.openxmlformats.org/officeDocument/2006/relationships/hyperlink" Target="#&apos;Parsed Ledger Source&apos;!A18" TargetMode="External"/><Relationship Id="rId37" Type="http://schemas.openxmlformats.org/officeDocument/2006/relationships/hyperlink" Target="#&apos;Parsed Ledger Source&apos;!A19" TargetMode="External"/><Relationship Id="rId38" Type="http://schemas.openxmlformats.org/officeDocument/2006/relationships/hyperlink" Target="#&apos;Parsed Ledger Source&apos;!A20" TargetMode="External"/><Relationship Id="rId39" Type="http://schemas.openxmlformats.org/officeDocument/2006/relationships/hyperlink" Target="#&apos;Parsed Supplier Source&apos;!A19" TargetMode="External"/><Relationship Id="rId40" Type="http://schemas.openxmlformats.org/officeDocument/2006/relationships/hyperlink" Target="#&apos;Parsed Supplier Source&apos;!A20" TargetMode="External"/><Relationship Id="rId41" Type="http://schemas.openxmlformats.org/officeDocument/2006/relationships/hyperlink" Target="#&apos;Parsed Supplier Source&apos;!A21" TargetMode="External"/><Relationship Id="rId42" Type="http://schemas.openxmlformats.org/officeDocument/2006/relationships/hyperlink" Target="#&apos;Parsed Ledger Source&apos;!A21" TargetMode="External"/><Relationship Id="rId43" Type="http://schemas.openxmlformats.org/officeDocument/2006/relationships/hyperlink" Target="#&apos;Parsed Supplier Source&apos;!A22" TargetMode="External"/><Relationship Id="rId44" Type="http://schemas.openxmlformats.org/officeDocument/2006/relationships/hyperlink" Target="#&apos;Parsed Ledger Source&apos;!A22" TargetMode="External"/><Relationship Id="rId45" Type="http://schemas.openxmlformats.org/officeDocument/2006/relationships/hyperlink" Target="#&apos;Parsed Ledger Source&apos;!A23" TargetMode="External"/><Relationship Id="rId46" Type="http://schemas.openxmlformats.org/officeDocument/2006/relationships/hyperlink" Target="#&apos;Parsed Supplier Source&apos;!A23" TargetMode="External"/><Relationship Id="rId47" Type="http://schemas.openxmlformats.org/officeDocument/2006/relationships/hyperlink" Target="#&apos;Parsed Supplier Source&apos;!A24" TargetMode="External"/><Relationship Id="rId48" Type="http://schemas.openxmlformats.org/officeDocument/2006/relationships/hyperlink" Target="#&apos;Parsed Ledger Source&apos;!A24" TargetMode="External"/><Relationship Id="rId49" Type="http://schemas.openxmlformats.org/officeDocument/2006/relationships/hyperlink" Target="#&apos;Parsed Supplier Source&apos;!A28" TargetMode="External"/><Relationship Id="rId50" Type="http://schemas.openxmlformats.org/officeDocument/2006/relationships/hyperlink" Target="#&apos;Parsed Ledger Source&apos;!A28" TargetMode="External"/><Relationship Id="rId51" Type="http://schemas.openxmlformats.org/officeDocument/2006/relationships/hyperlink" Target="#&apos;Parsed Ledger Source&apos;!A29" TargetMode="External"/><Relationship Id="rId52" Type="http://schemas.openxmlformats.org/officeDocument/2006/relationships/hyperlink" Target="#&apos;Parsed Ledger Source&apos;!A30" TargetMode="External"/><Relationship Id="rId53" Type="http://schemas.openxmlformats.org/officeDocument/2006/relationships/hyperlink" Target="#&apos;Parsed Supplier Source&apos;!A29" TargetMode="External"/><Relationship Id="rId54" Type="http://schemas.openxmlformats.org/officeDocument/2006/relationships/hyperlink" Target="#&apos;Parsed Supplier Source&apos;!A30" TargetMode="External"/><Relationship Id="rId55" Type="http://schemas.openxmlformats.org/officeDocument/2006/relationships/hyperlink" Target="#&apos;Parsed Supplier Source&apos;!A31" TargetMode="External"/><Relationship Id="rId56" Type="http://schemas.openxmlformats.org/officeDocument/2006/relationships/hyperlink" Target="#&apos;Parsed Ledger Source&apos;!A31" TargetMode="External"/><Relationship Id="rId57" Type="http://schemas.openxmlformats.org/officeDocument/2006/relationships/hyperlink" Target="#&apos;Parsed Supplier Source&apos;!A32" TargetMode="External"/><Relationship Id="rId58" Type="http://schemas.openxmlformats.org/officeDocument/2006/relationships/hyperlink" Target="#&apos;Parsed Ledger Source&apos;!A32" TargetMode="External"/><Relationship Id="rId59" Type="http://schemas.openxmlformats.org/officeDocument/2006/relationships/hyperlink" Target="#&apos;Parsed Ledger Source&apos;!A33" TargetMode="External"/><Relationship Id="rId60" Type="http://schemas.openxmlformats.org/officeDocument/2006/relationships/hyperlink" Target="#&apos;Parsed Supplier Source&apos;!A33" TargetMode="External"/><Relationship Id="rId61" Type="http://schemas.openxmlformats.org/officeDocument/2006/relationships/hyperlink" Target="#&apos;Parsed Supplier Source&apos;!A34" TargetMode="External"/><Relationship Id="rId62" Type="http://schemas.openxmlformats.org/officeDocument/2006/relationships/hyperlink" Target="#&apos;Parsed Ledger Source&apos;!A34" TargetMode="External"/><Relationship Id="rId63" Type="http://schemas.openxmlformats.org/officeDocument/2006/relationships/hyperlink" Target="#&apos;Parsed Supplier Source&apos;!A38" TargetMode="External"/><Relationship Id="rId64" Type="http://schemas.openxmlformats.org/officeDocument/2006/relationships/hyperlink" Target="#&apos;Parsed Ledger Source&apos;!A38" TargetMode="External"/><Relationship Id="rId65" Type="http://schemas.openxmlformats.org/officeDocument/2006/relationships/hyperlink" Target="#&apos;Parsed Ledger Source&apos;!A39" TargetMode="External"/><Relationship Id="rId66" Type="http://schemas.openxmlformats.org/officeDocument/2006/relationships/hyperlink" Target="#&apos;Parsed Ledger Source&apos;!A40" TargetMode="External"/><Relationship Id="rId67" Type="http://schemas.openxmlformats.org/officeDocument/2006/relationships/hyperlink" Target="#&apos;Parsed Supplier Source&apos;!A39" TargetMode="External"/><Relationship Id="rId68" Type="http://schemas.openxmlformats.org/officeDocument/2006/relationships/hyperlink" Target="#&apos;Parsed Supplier Source&apos;!A40" TargetMode="External"/><Relationship Id="rId69" Type="http://schemas.openxmlformats.org/officeDocument/2006/relationships/hyperlink" Target="#&apos;Parsed Supplier Source&apos;!A41" TargetMode="External"/><Relationship Id="rId70" Type="http://schemas.openxmlformats.org/officeDocument/2006/relationships/hyperlink" Target="#&apos;Parsed Ledger Source&apos;!A41" TargetMode="External"/><Relationship Id="rId71" Type="http://schemas.openxmlformats.org/officeDocument/2006/relationships/hyperlink" Target="#&apos;Parsed Supplier Source&apos;!A42" TargetMode="External"/><Relationship Id="rId72" Type="http://schemas.openxmlformats.org/officeDocument/2006/relationships/hyperlink" Target="#&apos;Parsed Ledger Source&apos;!A42" TargetMode="External"/><Relationship Id="rId73" Type="http://schemas.openxmlformats.org/officeDocument/2006/relationships/hyperlink" Target="#&apos;Parsed Ledger Source&apos;!A43" TargetMode="External"/><Relationship Id="rId74" Type="http://schemas.openxmlformats.org/officeDocument/2006/relationships/hyperlink" Target="#&apos;Parsed Supplier Source&apos;!A43" TargetMode="External"/><Relationship Id="rId75" Type="http://schemas.openxmlformats.org/officeDocument/2006/relationships/hyperlink" Target="#&apos;Parsed Supplier Source&apos;!A44" TargetMode="External"/><Relationship Id="rId76" Type="http://schemas.openxmlformats.org/officeDocument/2006/relationships/hyperlink" Target="#&apos;Parsed Ledger Source&apos;!A44" TargetMode="External"/><Relationship Id="rId77" Type="http://schemas.openxmlformats.org/officeDocument/2006/relationships/hyperlink" Target="#&apos;Parsed Supplier Source&apos;!A48" TargetMode="External"/><Relationship Id="rId78" Type="http://schemas.openxmlformats.org/officeDocument/2006/relationships/hyperlink" Target="#&apos;Parsed Ledger Source&apos;!A48" TargetMode="External"/><Relationship Id="rId79" Type="http://schemas.openxmlformats.org/officeDocument/2006/relationships/hyperlink" Target="#&apos;Parsed Ledger Source&apos;!A49" TargetMode="External"/><Relationship Id="rId80" Type="http://schemas.openxmlformats.org/officeDocument/2006/relationships/hyperlink" Target="#&apos;Parsed Ledger Source&apos;!A50" TargetMode="External"/><Relationship Id="rId81" Type="http://schemas.openxmlformats.org/officeDocument/2006/relationships/hyperlink" Target="#&apos;Parsed Supplier Source&apos;!A49" TargetMode="External"/><Relationship Id="rId82" Type="http://schemas.openxmlformats.org/officeDocument/2006/relationships/hyperlink" Target="#&apos;Parsed Supplier Source&apos;!A50" TargetMode="External"/><Relationship Id="rId83" Type="http://schemas.openxmlformats.org/officeDocument/2006/relationships/hyperlink" Target="#&apos;Parsed Supplier Source&apos;!A51" TargetMode="External"/><Relationship Id="rId84" Type="http://schemas.openxmlformats.org/officeDocument/2006/relationships/hyperlink" Target="#&apos;Parsed Ledger Source&apos;!A51" TargetMode="External"/><Relationship Id="rId85" Type="http://schemas.openxmlformats.org/officeDocument/2006/relationships/hyperlink" Target="#&apos;Parsed Supplier Source&apos;!A52" TargetMode="External"/><Relationship Id="rId86" Type="http://schemas.openxmlformats.org/officeDocument/2006/relationships/hyperlink" Target="#&apos;Parsed Ledger Source&apos;!A52" TargetMode="External"/><Relationship Id="rId87" Type="http://schemas.openxmlformats.org/officeDocument/2006/relationships/hyperlink" Target="#&apos;Parsed Ledger Source&apos;!A53" TargetMode="External"/><Relationship Id="rId88" Type="http://schemas.openxmlformats.org/officeDocument/2006/relationships/hyperlink" Target="#&apos;Parsed Supplier Source&apos;!A53" TargetMode="External"/><Relationship Id="rId89" Type="http://schemas.openxmlformats.org/officeDocument/2006/relationships/hyperlink" Target="#&apos;Parsed Supplier Source&apos;!A54" TargetMode="External"/><Relationship Id="rId90" Type="http://schemas.openxmlformats.org/officeDocument/2006/relationships/hyperlink" Target="#&apos;Parsed Ledger Source&apos;!A54" TargetMode="External"/><Relationship Id="rId91" Type="http://schemas.openxmlformats.org/officeDocument/2006/relationships/hyperlink" Target="#&apos;Parsed Supplier Source&apos;!A58" TargetMode="External"/><Relationship Id="rId92" Type="http://schemas.openxmlformats.org/officeDocument/2006/relationships/hyperlink" Target="#&apos;Parsed Ledger Source&apos;!A58" TargetMode="External"/><Relationship Id="rId93" Type="http://schemas.openxmlformats.org/officeDocument/2006/relationships/hyperlink" Target="#&apos;Parsed Ledger Source&apos;!A59" TargetMode="External"/><Relationship Id="rId94" Type="http://schemas.openxmlformats.org/officeDocument/2006/relationships/hyperlink" Target="#&apos;Parsed Ledger Source&apos;!A60" TargetMode="External"/><Relationship Id="rId95" Type="http://schemas.openxmlformats.org/officeDocument/2006/relationships/hyperlink" Target="#&apos;Parsed Supplier Source&apos;!A59" TargetMode="External"/><Relationship Id="rId96" Type="http://schemas.openxmlformats.org/officeDocument/2006/relationships/hyperlink" Target="#&apos;Parsed Supplier Source&apos;!A60" TargetMode="External"/><Relationship Id="rId97" Type="http://schemas.openxmlformats.org/officeDocument/2006/relationships/hyperlink" Target="#&apos;Parsed Supplier Source&apos;!A61" TargetMode="External"/><Relationship Id="rId98" Type="http://schemas.openxmlformats.org/officeDocument/2006/relationships/hyperlink" Target="#&apos;Parsed Ledger Source&apos;!A61" TargetMode="External"/><Relationship Id="rId99" Type="http://schemas.openxmlformats.org/officeDocument/2006/relationships/hyperlink" Target="#&apos;Parsed Supplier Source&apos;!A62" TargetMode="External"/><Relationship Id="rId100" Type="http://schemas.openxmlformats.org/officeDocument/2006/relationships/hyperlink" Target="#&apos;Parsed Ledger Source&apos;!A62" TargetMode="External"/><Relationship Id="rId101" Type="http://schemas.openxmlformats.org/officeDocument/2006/relationships/hyperlink" Target="#&apos;Parsed Ledger Source&apos;!A63" TargetMode="External"/><Relationship Id="rId102" Type="http://schemas.openxmlformats.org/officeDocument/2006/relationships/hyperlink" Target="#&apos;Parsed Supplier Source&apos;!A63" TargetMode="External"/><Relationship Id="rId103" Type="http://schemas.openxmlformats.org/officeDocument/2006/relationships/hyperlink" Target="#&apos;Parsed Supplier Source&apos;!A64" TargetMode="External"/><Relationship Id="rId104" Type="http://schemas.openxmlformats.org/officeDocument/2006/relationships/hyperlink" Target="#&apos;Parsed Ledger Source&apos;!A64" TargetMode="External"/><Relationship Id="rId105" Type="http://schemas.openxmlformats.org/officeDocument/2006/relationships/hyperlink" Target="#&apos;Parsed Supplier Source&apos;!A68" TargetMode="External"/><Relationship Id="rId106" Type="http://schemas.openxmlformats.org/officeDocument/2006/relationships/hyperlink" Target="#&apos;Parsed Ledger Source&apos;!A68" TargetMode="External"/><Relationship Id="rId107" Type="http://schemas.openxmlformats.org/officeDocument/2006/relationships/hyperlink" Target="#&apos;Parsed Ledger Source&apos;!A69" TargetMode="External"/><Relationship Id="rId108" Type="http://schemas.openxmlformats.org/officeDocument/2006/relationships/hyperlink" Target="#&apos;Parsed Ledger Source&apos;!A70" TargetMode="External"/><Relationship Id="rId109" Type="http://schemas.openxmlformats.org/officeDocument/2006/relationships/hyperlink" Target="#&apos;Parsed Supplier Source&apos;!A69" TargetMode="External"/><Relationship Id="rId110" Type="http://schemas.openxmlformats.org/officeDocument/2006/relationships/hyperlink" Target="#&apos;Parsed Supplier Source&apos;!A70" TargetMode="External"/><Relationship Id="rId111" Type="http://schemas.openxmlformats.org/officeDocument/2006/relationships/hyperlink" Target="#&apos;Parsed Supplier Source&apos;!A71" TargetMode="External"/><Relationship Id="rId112" Type="http://schemas.openxmlformats.org/officeDocument/2006/relationships/hyperlink" Target="#&apos;Parsed Ledger Source&apos;!A71" TargetMode="External"/><Relationship Id="rId113" Type="http://schemas.openxmlformats.org/officeDocument/2006/relationships/hyperlink" Target="#&apos;Parsed Supplier Source&apos;!A72" TargetMode="External"/><Relationship Id="rId114" Type="http://schemas.openxmlformats.org/officeDocument/2006/relationships/hyperlink" Target="#&apos;Parsed Ledger Source&apos;!A72" TargetMode="External"/><Relationship Id="rId115" Type="http://schemas.openxmlformats.org/officeDocument/2006/relationships/hyperlink" Target="#&apos;Parsed Ledger Source&apos;!A73" TargetMode="External"/><Relationship Id="rId116" Type="http://schemas.openxmlformats.org/officeDocument/2006/relationships/hyperlink" Target="#&apos;Parsed Supplier Source&apos;!A73" TargetMode="External"/><Relationship Id="rId117" Type="http://schemas.openxmlformats.org/officeDocument/2006/relationships/hyperlink" Target="#&apos;Parsed Supplier Source&apos;!A74" TargetMode="External"/><Relationship Id="rId118" Type="http://schemas.openxmlformats.org/officeDocument/2006/relationships/hyperlink" Target="#&apos;Parsed Ledger Source&apos;!A74" TargetMode="External"/><Relationship Id="rId119" Type="http://schemas.openxmlformats.org/officeDocument/2006/relationships/hyperlink" Target="#&apos;Parsed Supplier Source&apos;!A78" TargetMode="External"/><Relationship Id="rId120" Type="http://schemas.openxmlformats.org/officeDocument/2006/relationships/hyperlink" Target="#&apos;Parsed Ledger Source&apos;!A78" TargetMode="External"/><Relationship Id="rId121" Type="http://schemas.openxmlformats.org/officeDocument/2006/relationships/hyperlink" Target="#&apos;Parsed Ledger Source&apos;!A79" TargetMode="External"/><Relationship Id="rId122" Type="http://schemas.openxmlformats.org/officeDocument/2006/relationships/hyperlink" Target="#&apos;Parsed Ledger Source&apos;!A80" TargetMode="External"/><Relationship Id="rId123" Type="http://schemas.openxmlformats.org/officeDocument/2006/relationships/hyperlink" Target="#&apos;Parsed Supplier Source&apos;!A79" TargetMode="External"/><Relationship Id="rId124" Type="http://schemas.openxmlformats.org/officeDocument/2006/relationships/hyperlink" Target="#&apos;Parsed Supplier Source&apos;!A80" TargetMode="External"/><Relationship Id="rId125" Type="http://schemas.openxmlformats.org/officeDocument/2006/relationships/hyperlink" Target="#&apos;Parsed Supplier Source&apos;!A81" TargetMode="External"/><Relationship Id="rId126" Type="http://schemas.openxmlformats.org/officeDocument/2006/relationships/hyperlink" Target="#&apos;Parsed Ledger Source&apos;!A81" TargetMode="External"/><Relationship Id="rId127" Type="http://schemas.openxmlformats.org/officeDocument/2006/relationships/hyperlink" Target="#&apos;Parsed Supplier Source&apos;!A82" TargetMode="External"/><Relationship Id="rId128" Type="http://schemas.openxmlformats.org/officeDocument/2006/relationships/hyperlink" Target="#&apos;Parsed Ledger Source&apos;!A82" TargetMode="External"/><Relationship Id="rId129" Type="http://schemas.openxmlformats.org/officeDocument/2006/relationships/hyperlink" Target="#&apos;Parsed Ledger Source&apos;!A83" TargetMode="External"/><Relationship Id="rId130" Type="http://schemas.openxmlformats.org/officeDocument/2006/relationships/hyperlink" Target="#&apos;Parsed Supplier Source&apos;!A83" TargetMode="External"/><Relationship Id="rId131" Type="http://schemas.openxmlformats.org/officeDocument/2006/relationships/hyperlink" Target="#&apos;Parsed Supplier Source&apos;!A84" TargetMode="External"/><Relationship Id="rId132" Type="http://schemas.openxmlformats.org/officeDocument/2006/relationships/hyperlink" Target="#&apos;Parsed Ledger Source&apos;!A84" TargetMode="External"/><Relationship Id="rId133" Type="http://schemas.openxmlformats.org/officeDocument/2006/relationships/hyperlink" Target="#&apos;Parsed Supplier Source&apos;!A88" TargetMode="External"/><Relationship Id="rId134" Type="http://schemas.openxmlformats.org/officeDocument/2006/relationships/hyperlink" Target="#&apos;Parsed Ledger Source&apos;!A88" TargetMode="External"/><Relationship Id="rId135" Type="http://schemas.openxmlformats.org/officeDocument/2006/relationships/hyperlink" Target="#&apos;Parsed Ledger Source&apos;!A89" TargetMode="External"/><Relationship Id="rId136" Type="http://schemas.openxmlformats.org/officeDocument/2006/relationships/hyperlink" Target="#&apos;Parsed Ledger Source&apos;!A90" TargetMode="External"/><Relationship Id="rId137" Type="http://schemas.openxmlformats.org/officeDocument/2006/relationships/hyperlink" Target="#&apos;Parsed Supplier Source&apos;!A89" TargetMode="External"/><Relationship Id="rId138" Type="http://schemas.openxmlformats.org/officeDocument/2006/relationships/hyperlink" Target="#&apos;Parsed Supplier Source&apos;!A90" TargetMode="External"/><Relationship Id="rId139" Type="http://schemas.openxmlformats.org/officeDocument/2006/relationships/hyperlink" Target="#&apos;Parsed Supplier Source&apos;!A91" TargetMode="External"/><Relationship Id="rId140" Type="http://schemas.openxmlformats.org/officeDocument/2006/relationships/hyperlink" Target="#&apos;Parsed Ledger Source&apos;!A91" TargetMode="External"/><Relationship Id="rId141" Type="http://schemas.openxmlformats.org/officeDocument/2006/relationships/hyperlink" Target="#&apos;Parsed Supplier Source&apos;!A92" TargetMode="External"/><Relationship Id="rId142" Type="http://schemas.openxmlformats.org/officeDocument/2006/relationships/hyperlink" Target="#&apos;Parsed Ledger Source&apos;!A92" TargetMode="External"/><Relationship Id="rId143" Type="http://schemas.openxmlformats.org/officeDocument/2006/relationships/hyperlink" Target="#&apos;Parsed Ledger Source&apos;!A93" TargetMode="External"/><Relationship Id="rId144" Type="http://schemas.openxmlformats.org/officeDocument/2006/relationships/hyperlink" Target="#&apos;Parsed Supplier Source&apos;!A93" TargetMode="External"/><Relationship Id="rId145" Type="http://schemas.openxmlformats.org/officeDocument/2006/relationships/hyperlink" Target="#&apos;Parsed Supplier Source&apos;!A94" TargetMode="External"/><Relationship Id="rId146" Type="http://schemas.openxmlformats.org/officeDocument/2006/relationships/hyperlink" Target="#&apos;Parsed Ledger Source&apos;!A94" TargetMode="External"/><Relationship Id="rId147" Type="http://schemas.openxmlformats.org/officeDocument/2006/relationships/hyperlink" Target="#&apos;Parsed Supplier Source&apos;!A98" TargetMode="External"/><Relationship Id="rId148" Type="http://schemas.openxmlformats.org/officeDocument/2006/relationships/hyperlink" Target="#&apos;Parsed Ledger Source&apos;!A98" TargetMode="External"/><Relationship Id="rId149" Type="http://schemas.openxmlformats.org/officeDocument/2006/relationships/hyperlink" Target="#&apos;Parsed Ledger Source&apos;!A99" TargetMode="External"/><Relationship Id="rId150" Type="http://schemas.openxmlformats.org/officeDocument/2006/relationships/hyperlink" Target="#&apos;Parsed Ledger Source&apos;!A100" TargetMode="External"/><Relationship Id="rId151" Type="http://schemas.openxmlformats.org/officeDocument/2006/relationships/hyperlink" Target="#&apos;Parsed Supplier Source&apos;!A99" TargetMode="External"/><Relationship Id="rId152" Type="http://schemas.openxmlformats.org/officeDocument/2006/relationships/hyperlink" Target="#&apos;Parsed Supplier Source&apos;!A100" TargetMode="External"/><Relationship Id="rId153" Type="http://schemas.openxmlformats.org/officeDocument/2006/relationships/hyperlink" Target="#&apos;Parsed Supplier Source&apos;!A101" TargetMode="External"/><Relationship Id="rId154" Type="http://schemas.openxmlformats.org/officeDocument/2006/relationships/hyperlink" Target="#&apos;Parsed Ledger Source&apos;!A101" TargetMode="External"/><Relationship Id="rId155" Type="http://schemas.openxmlformats.org/officeDocument/2006/relationships/hyperlink" Target="#&apos;Parsed Supplier Source&apos;!A102" TargetMode="External"/><Relationship Id="rId156" Type="http://schemas.openxmlformats.org/officeDocument/2006/relationships/hyperlink" Target="#&apos;Parsed Ledger Source&apos;!A102" TargetMode="External"/><Relationship Id="rId157" Type="http://schemas.openxmlformats.org/officeDocument/2006/relationships/hyperlink" Target="#&apos;Parsed Ledger Source&apos;!A103" TargetMode="External"/><Relationship Id="rId158" Type="http://schemas.openxmlformats.org/officeDocument/2006/relationships/hyperlink" Target="#&apos;Parsed Supplier Source&apos;!A103" TargetMode="External"/><Relationship Id="rId159" Type="http://schemas.openxmlformats.org/officeDocument/2006/relationships/hyperlink" Target="#&apos;Parsed Supplier Source&apos;!A104" TargetMode="External"/><Relationship Id="rId160" Type="http://schemas.openxmlformats.org/officeDocument/2006/relationships/hyperlink" Target="#&apos;Parsed Ledger Source&apos;!A104" TargetMode="External"/><Relationship Id="rId161" Type="http://schemas.openxmlformats.org/officeDocument/2006/relationships/hyperlink" Target="#&apos;Parsed Supplier Source&apos;!A15" TargetMode="External"/><Relationship Id="rId162" Type="http://schemas.openxmlformats.org/officeDocument/2006/relationships/hyperlink" Target="#&apos;Parsed Supplier Source&apos;!A16" TargetMode="External"/><Relationship Id="rId163" Type="http://schemas.openxmlformats.org/officeDocument/2006/relationships/hyperlink" Target="#&apos;Parsed Ledger Source&apos;!A15" TargetMode="External"/><Relationship Id="rId164" Type="http://schemas.openxmlformats.org/officeDocument/2006/relationships/hyperlink" Target="#&apos;Parsed Ledger Source&apos;!A16" TargetMode="External"/><Relationship Id="rId165" Type="http://schemas.openxmlformats.org/officeDocument/2006/relationships/hyperlink" Target="#&apos;Parsed Supplier Source&apos;!A25" TargetMode="External"/><Relationship Id="rId166" Type="http://schemas.openxmlformats.org/officeDocument/2006/relationships/hyperlink" Target="#&apos;Parsed Supplier Source&apos;!A26" TargetMode="External"/><Relationship Id="rId167" Type="http://schemas.openxmlformats.org/officeDocument/2006/relationships/hyperlink" Target="#&apos;Parsed Ledger Source&apos;!A25" TargetMode="External"/><Relationship Id="rId168" Type="http://schemas.openxmlformats.org/officeDocument/2006/relationships/hyperlink" Target="#&apos;Parsed Ledger Source&apos;!A26" TargetMode="External"/><Relationship Id="rId169" Type="http://schemas.openxmlformats.org/officeDocument/2006/relationships/hyperlink" Target="#&apos;Parsed Supplier Source&apos;!A35" TargetMode="External"/><Relationship Id="rId170" Type="http://schemas.openxmlformats.org/officeDocument/2006/relationships/hyperlink" Target="#&apos;Parsed Supplier Source&apos;!A36" TargetMode="External"/><Relationship Id="rId171" Type="http://schemas.openxmlformats.org/officeDocument/2006/relationships/hyperlink" Target="#&apos;Parsed Ledger Source&apos;!A35" TargetMode="External"/><Relationship Id="rId172" Type="http://schemas.openxmlformats.org/officeDocument/2006/relationships/hyperlink" Target="#&apos;Parsed Ledger Source&apos;!A36" TargetMode="External"/><Relationship Id="rId173" Type="http://schemas.openxmlformats.org/officeDocument/2006/relationships/hyperlink" Target="#&apos;Parsed Supplier Source&apos;!A45" TargetMode="External"/><Relationship Id="rId174" Type="http://schemas.openxmlformats.org/officeDocument/2006/relationships/hyperlink" Target="#&apos;Parsed Supplier Source&apos;!A46" TargetMode="External"/><Relationship Id="rId175" Type="http://schemas.openxmlformats.org/officeDocument/2006/relationships/hyperlink" Target="#&apos;Parsed Ledger Source&apos;!A45" TargetMode="External"/><Relationship Id="rId176" Type="http://schemas.openxmlformats.org/officeDocument/2006/relationships/hyperlink" Target="#&apos;Parsed Ledger Source&apos;!A46" TargetMode="External"/><Relationship Id="rId177" Type="http://schemas.openxmlformats.org/officeDocument/2006/relationships/hyperlink" Target="#&apos;Parsed Supplier Source&apos;!A55" TargetMode="External"/><Relationship Id="rId178" Type="http://schemas.openxmlformats.org/officeDocument/2006/relationships/hyperlink" Target="#&apos;Parsed Supplier Source&apos;!A56" TargetMode="External"/><Relationship Id="rId179" Type="http://schemas.openxmlformats.org/officeDocument/2006/relationships/hyperlink" Target="#&apos;Parsed Ledger Source&apos;!A55" TargetMode="External"/><Relationship Id="rId180" Type="http://schemas.openxmlformats.org/officeDocument/2006/relationships/hyperlink" Target="#&apos;Parsed Ledger Source&apos;!A56" TargetMode="External"/><Relationship Id="rId181" Type="http://schemas.openxmlformats.org/officeDocument/2006/relationships/hyperlink" Target="#&apos;Parsed Supplier Source&apos;!A65" TargetMode="External"/><Relationship Id="rId182" Type="http://schemas.openxmlformats.org/officeDocument/2006/relationships/hyperlink" Target="#&apos;Parsed Supplier Source&apos;!A66" TargetMode="External"/><Relationship Id="rId183" Type="http://schemas.openxmlformats.org/officeDocument/2006/relationships/hyperlink" Target="#&apos;Parsed Ledger Source&apos;!A65" TargetMode="External"/><Relationship Id="rId184" Type="http://schemas.openxmlformats.org/officeDocument/2006/relationships/hyperlink" Target="#&apos;Parsed Ledger Source&apos;!A66" TargetMode="External"/><Relationship Id="rId185" Type="http://schemas.openxmlformats.org/officeDocument/2006/relationships/hyperlink" Target="#&apos;Parsed Supplier Source&apos;!A75" TargetMode="External"/><Relationship Id="rId186" Type="http://schemas.openxmlformats.org/officeDocument/2006/relationships/hyperlink" Target="#&apos;Parsed Supplier Source&apos;!A76" TargetMode="External"/><Relationship Id="rId187" Type="http://schemas.openxmlformats.org/officeDocument/2006/relationships/hyperlink" Target="#&apos;Parsed Ledger Source&apos;!A75" TargetMode="External"/><Relationship Id="rId188" Type="http://schemas.openxmlformats.org/officeDocument/2006/relationships/hyperlink" Target="#&apos;Parsed Ledger Source&apos;!A76" TargetMode="External"/><Relationship Id="rId189" Type="http://schemas.openxmlformats.org/officeDocument/2006/relationships/hyperlink" Target="#&apos;Parsed Supplier Source&apos;!A85" TargetMode="External"/><Relationship Id="rId190" Type="http://schemas.openxmlformats.org/officeDocument/2006/relationships/hyperlink" Target="#&apos;Parsed Supplier Source&apos;!A86" TargetMode="External"/><Relationship Id="rId191" Type="http://schemas.openxmlformats.org/officeDocument/2006/relationships/hyperlink" Target="#&apos;Parsed Ledger Source&apos;!A85" TargetMode="External"/><Relationship Id="rId192" Type="http://schemas.openxmlformats.org/officeDocument/2006/relationships/hyperlink" Target="#&apos;Parsed Ledger Source&apos;!A86" TargetMode="External"/><Relationship Id="rId193" Type="http://schemas.openxmlformats.org/officeDocument/2006/relationships/hyperlink" Target="#&apos;Parsed Supplier Source&apos;!A95" TargetMode="External"/><Relationship Id="rId194" Type="http://schemas.openxmlformats.org/officeDocument/2006/relationships/hyperlink" Target="#&apos;Parsed Supplier Source&apos;!A96" TargetMode="External"/><Relationship Id="rId195" Type="http://schemas.openxmlformats.org/officeDocument/2006/relationships/hyperlink" Target="#&apos;Parsed Ledger Source&apos;!A95" TargetMode="External"/><Relationship Id="rId196" Type="http://schemas.openxmlformats.org/officeDocument/2006/relationships/hyperlink" Target="#&apos;Parsed Ledger Source&apos;!A96" TargetMode="External"/><Relationship Id="rId197" Type="http://schemas.openxmlformats.org/officeDocument/2006/relationships/hyperlink" Target="#&apos;Parsed Supplier Source&apos;!A105" TargetMode="External"/><Relationship Id="rId198" Type="http://schemas.openxmlformats.org/officeDocument/2006/relationships/hyperlink" Target="#&apos;Parsed Supplier Source&apos;!A106" TargetMode="External"/><Relationship Id="rId199" Type="http://schemas.openxmlformats.org/officeDocument/2006/relationships/hyperlink" Target="#&apos;Parsed Ledger Source&apos;!A105" TargetMode="External"/><Relationship Id="rId200" Type="http://schemas.openxmlformats.org/officeDocument/2006/relationships/hyperlink" Target="#&apos;Parsed Ledger Source&apos;!A1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42"/>
  <sheetViews>
    <sheetView workbookViewId="0" rightToLeft="1">
      <pane ySplit="1" topLeftCell="A2" activePane="bottomLeft" state="frozen"/>
      <selection pane="bottomLeft"/>
    </sheetView>
  </sheetViews>
  <sheetFormatPr defaultRowHeight="15" outlineLevelRow="0" outlineLevelCol="0" x14ac:dyDescent="55"/>
  <cols>
    <col min="1" max="1" width="37" customWidth="1"/>
    <col min="2" max="2" width="88" customWidth="1"/>
  </cols>
  <sheetData>
    <row r="1" ht="32" customHeight="1" spans="1:2" s="1" customFormat="1" x14ac:dyDescent="0.25">
      <c r="A1" s="2" t="s">
        <v>0</v>
      </c>
      <c r="B1" s="2" t="s">
        <v>1</v>
      </c>
    </row>
    <row r="2" ht="30" customHeight="1" spans="1:2" s="3" customFormat="1" x14ac:dyDescent="0.25">
      <c r="A2" s="3" t="s">
        <v>2</v>
      </c>
      <c r="B2" s="3" t="s">
        <v>3</v>
      </c>
    </row>
    <row r="3" ht="30" customHeight="1" spans="1:2" s="3" customFormat="1" x14ac:dyDescent="0.25">
      <c r="A3" s="3" t="s">
        <v>4</v>
      </c>
      <c r="B3" s="3" t="s">
        <v>5</v>
      </c>
    </row>
    <row r="4" ht="30" customHeight="1" spans="1:2" s="3" customFormat="1" x14ac:dyDescent="0.25">
      <c r="A4" s="3" t="s">
        <v>6</v>
      </c>
      <c r="B4" s="3" t="s">
        <v>7</v>
      </c>
    </row>
    <row r="5" ht="30" customHeight="1" spans="1:2" s="3" customFormat="1" x14ac:dyDescent="0.25">
      <c r="A5" s="3" t="s">
        <v>8</v>
      </c>
      <c r="B5" s="3" t="s">
        <v>9</v>
      </c>
    </row>
    <row r="6" ht="30" customHeight="1" spans="1:2" s="3" customFormat="1" x14ac:dyDescent="0.25">
      <c r="A6" s="3" t="s">
        <v>10</v>
      </c>
      <c r="B6" s="4"/>
    </row>
    <row r="7" ht="30" customHeight="1" spans="1:2" s="3" customFormat="1" x14ac:dyDescent="0.25">
      <c r="A7" s="3" t="s">
        <v>11</v>
      </c>
      <c r="B7" s="4">
        <v>46234</v>
      </c>
    </row>
    <row r="8" ht="30" customHeight="1" spans="1:2" s="3" customFormat="1" x14ac:dyDescent="0.25">
      <c r="A8" s="3" t="s">
        <v>12</v>
      </c>
      <c r="B8" s="4"/>
    </row>
    <row r="9" ht="30" customHeight="1" spans="1:2" s="3" customFormat="1" x14ac:dyDescent="0.25">
      <c r="A9" s="3" t="s">
        <v>13</v>
      </c>
      <c r="B9" s="4">
        <v>46234</v>
      </c>
    </row>
    <row r="10" ht="30" customHeight="1" spans="1:2" s="3" customFormat="1" x14ac:dyDescent="0.25">
      <c r="A10" s="3" t="s">
        <v>14</v>
      </c>
      <c r="B10" s="4">
        <v>46234</v>
      </c>
    </row>
    <row r="11" ht="30" customHeight="1" spans="1:2" s="3" customFormat="1" x14ac:dyDescent="0.25">
      <c r="A11" s="3" t="s">
        <v>15</v>
      </c>
      <c r="B11" s="3" t="s">
        <v>16</v>
      </c>
    </row>
    <row r="12" ht="30" customHeight="1" spans="1:2" s="3" customFormat="1" x14ac:dyDescent="0.25">
      <c r="A12" s="3" t="s">
        <v>17</v>
      </c>
      <c r="B12" s="3" t="s">
        <v>16</v>
      </c>
    </row>
    <row r="13" ht="30" customHeight="1" spans="1:2" s="3" customFormat="1" x14ac:dyDescent="0.25">
      <c r="A13" s="3" t="s">
        <v>18</v>
      </c>
      <c r="B13" s="3" t="s">
        <v>19</v>
      </c>
    </row>
    <row r="14" ht="30" customHeight="1" spans="1:2" s="3" customFormat="1" x14ac:dyDescent="0.25">
      <c r="A14" s="3" t="s">
        <v>20</v>
      </c>
      <c r="B14" s="3"/>
    </row>
    <row r="15" ht="30" customHeight="1" spans="1:2" s="3" customFormat="1" x14ac:dyDescent="0.25">
      <c r="A15" s="3" t="s">
        <v>21</v>
      </c>
      <c r="B15" s="3" t="s">
        <v>19</v>
      </c>
    </row>
    <row r="16" ht="30" customHeight="1" spans="1:2" s="3" customFormat="1" x14ac:dyDescent="0.25">
      <c r="A16" s="3" t="s">
        <v>22</v>
      </c>
      <c r="B16" s="3" t="s">
        <v>23</v>
      </c>
    </row>
    <row r="17" ht="30" customHeight="1" spans="1:2" s="3" customFormat="1" x14ac:dyDescent="0.25">
      <c r="A17" s="3" t="s">
        <v>24</v>
      </c>
      <c r="B17" s="5"/>
    </row>
    <row r="18" ht="30" customHeight="1" spans="1:2" s="3" customFormat="1" x14ac:dyDescent="0.25">
      <c r="A18" s="3" t="s">
        <v>25</v>
      </c>
      <c r="B18" s="5"/>
    </row>
    <row r="19" ht="30" customHeight="1" spans="1:2" s="3" customFormat="1" x14ac:dyDescent="0.25">
      <c r="A19" s="3" t="s">
        <v>26</v>
      </c>
      <c r="B19" s="5"/>
    </row>
    <row r="20" ht="30" customHeight="1" spans="1:2" s="3" customFormat="1" x14ac:dyDescent="0.25">
      <c r="A20" s="3" t="s">
        <v>27</v>
      </c>
      <c r="B20" s="5"/>
    </row>
    <row r="21" ht="30" customHeight="1" spans="1:2" s="3" customFormat="1" x14ac:dyDescent="0.25">
      <c r="A21" s="3" t="s">
        <v>28</v>
      </c>
      <c r="B21" s="5"/>
    </row>
    <row r="22" ht="30" customHeight="1" spans="1:2" s="3" customFormat="1" x14ac:dyDescent="0.25">
      <c r="A22" s="3" t="s">
        <v>29</v>
      </c>
      <c r="B22" s="5"/>
    </row>
    <row r="23" ht="30" customHeight="1" spans="1:2" s="3" customFormat="1" x14ac:dyDescent="0.25">
      <c r="A23" s="3" t="s">
        <v>30</v>
      </c>
      <c r="B23" s="3" t="s">
        <v>31</v>
      </c>
    </row>
    <row r="24" ht="30" customHeight="1" spans="1:2" s="3" customFormat="1" x14ac:dyDescent="0.25">
      <c r="A24" s="3" t="s">
        <v>32</v>
      </c>
      <c r="B24" s="3" t="s">
        <v>31</v>
      </c>
    </row>
    <row r="25" ht="30" customHeight="1" spans="1:2" s="3" customFormat="1" x14ac:dyDescent="0.25">
      <c r="A25" s="3" t="s">
        <v>33</v>
      </c>
      <c r="B25" s="3" t="s">
        <v>34</v>
      </c>
    </row>
    <row r="26" ht="30" customHeight="1" spans="1:2" s="3" customFormat="1" x14ac:dyDescent="0.25">
      <c r="A26" s="3" t="s">
        <v>35</v>
      </c>
      <c r="B26" s="3" t="s">
        <v>34</v>
      </c>
    </row>
    <row r="27" ht="30" customHeight="1" spans="1:2" s="3" customFormat="1" x14ac:dyDescent="0.25">
      <c r="A27" s="3" t="s">
        <v>36</v>
      </c>
      <c r="B27" s="3" t="s">
        <v>37</v>
      </c>
    </row>
    <row r="28" ht="30" customHeight="1" spans="1:2" s="3" customFormat="1" x14ac:dyDescent="0.25">
      <c r="A28" s="3" t="s">
        <v>38</v>
      </c>
      <c r="B28" s="6">
        <f>COUNTIF('Matches'!Q2:Q51,"Auto")</f>
        <v>50</v>
      </c>
    </row>
    <row r="29" ht="30" customHeight="1" spans="1:2" s="3" customFormat="1" x14ac:dyDescent="0.25">
      <c r="A29" s="3" t="s">
        <v>39</v>
      </c>
      <c r="B29" s="6">
        <f>SUM('Matches'!O2:P51)</f>
        <v>160</v>
      </c>
    </row>
    <row r="30" ht="30" customHeight="1" spans="1:2" s="3" customFormat="1" x14ac:dyDescent="0.25">
      <c r="A30" s="3" t="s">
        <v>40</v>
      </c>
      <c r="B30" s="6">
        <f>COUNTIF('Needs Review'!M2:M11,"Needs Review")</f>
        <v>10</v>
      </c>
    </row>
    <row r="31" ht="30" customHeight="1" spans="1:2" s="3" customFormat="1" x14ac:dyDescent="0.25">
      <c r="A31" s="3" t="s">
        <v>41</v>
      </c>
      <c r="B31" s="6">
        <f>SUMIF('Needs Review'!M2:M11,"Needs Review",'Needs Review'!N2:N11)+SUMIF('Needs Review'!M2:M11,"Needs Review",'Needs Review'!O2:O11)</f>
        <v>40</v>
      </c>
    </row>
    <row r="32" ht="30" customHeight="1" spans="1:2" s="3" customFormat="1" x14ac:dyDescent="0.25">
      <c r="A32" s="3" t="s">
        <v>42</v>
      </c>
      <c r="B32" s="6">
        <f>COUNTA('Unmatched'!A2:A2)</f>
        <v>0</v>
      </c>
    </row>
    <row r="33" ht="30" customHeight="1" spans="1:2" s="3" customFormat="1" x14ac:dyDescent="0.25">
      <c r="A33" s="3" t="s">
        <v>43</v>
      </c>
      <c r="B33" s="6">
        <f>SUM('Unmatched'!K2:K2)</f>
        <v>0</v>
      </c>
    </row>
    <row r="34" ht="30" customHeight="1" spans="1:2" s="3" customFormat="1" x14ac:dyDescent="0.25">
      <c r="A34" s="3" t="s">
        <v>44</v>
      </c>
      <c r="B34" s="3">
        <f>COUNTIF('Matches'!Q2:Q51,"Manual")</f>
        <v>0</v>
      </c>
    </row>
    <row r="35" ht="30" customHeight="1" spans="1:2" s="3" customFormat="1" x14ac:dyDescent="0.25">
      <c r="A35" s="3" t="s">
        <v>45</v>
      </c>
      <c r="B35" s="3">
        <f>COUNTIF('Needs Review'!M2:M11,"Rejected")</f>
        <v>0</v>
      </c>
    </row>
    <row r="36" ht="30" customHeight="1" spans="1:2" s="3" customFormat="1" x14ac:dyDescent="0.25">
      <c r="A36" s="3" t="s">
        <v>46</v>
      </c>
      <c r="B36" s="5">
        <f>'Reconciliation Bridge'!E3</f>
        <v>0</v>
      </c>
    </row>
    <row r="37" ht="30" customHeight="1" spans="1:2" s="3" customFormat="1" x14ac:dyDescent="0.25">
      <c r="A37" s="3" t="s">
        <v>47</v>
      </c>
      <c r="B37" s="5"/>
    </row>
    <row r="38" ht="30" customHeight="1" spans="1:2" s="3" customFormat="1" x14ac:dyDescent="0.25">
      <c r="A38" s="3" t="s">
        <v>48</v>
      </c>
      <c r="B38" s="5"/>
    </row>
    <row r="39" ht="30" customHeight="1" spans="1:2" s="3" customFormat="1" x14ac:dyDescent="0.25">
      <c r="A39" s="3" t="s">
        <v>49</v>
      </c>
      <c r="B39" s="3" t="s">
        <v>50</v>
      </c>
    </row>
    <row r="40" ht="30" customHeight="1" spans="1:2" s="3" customFormat="1" x14ac:dyDescent="0.25">
      <c r="A40" s="3" t="s">
        <v>51</v>
      </c>
      <c r="B40" s="6" t="s">
        <v>52</v>
      </c>
    </row>
    <row r="41" ht="30" customHeight="1" spans="1:2" s="3" customFormat="1" x14ac:dyDescent="0.25">
      <c r="A41" s="3" t="s">
        <v>53</v>
      </c>
      <c r="B41" s="3" t="s">
        <v>54</v>
      </c>
    </row>
    <row r="42" ht="30" customHeight="1" spans="1:2" s="3" customFormat="1" x14ac:dyDescent="0.25">
      <c r="A42" s="3" t="s">
        <v>55</v>
      </c>
      <c r="B42" s="3" t="s">
        <v>56</v>
      </c>
    </row>
  </sheetData>
  <autoFilter ref="A1:B42"/>
  <hyperlinks>
    <hyperlink ref="B40" r:id="rId1" location="#'Needs Review'!A1"/>
    <hyperlink ref="B41" r:id="rId2" location="#'Review Sign-off'!A1"/>
    <hyperlink ref="B42" r:id="rId3" location="#'Export Metadata'!A1"/>
  </hyperlinks>
  <pageMargins left="0.7" right="0.7" top="0.75" bottom="0.75" header="0.3" footer="0.3"/>
  <pageSetup orientation="portrait"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51"/>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13" customWidth="1"/>
    <col min="3" max="3" width="15" customWidth="1"/>
    <col min="4" max="4" width="27" customWidth="1"/>
    <col min="5" max="5" width="19" style="7" customWidth="1"/>
    <col min="6" max="6" width="15" customWidth="1"/>
    <col min="7" max="7" width="27" customWidth="1"/>
    <col min="8" max="8" width="19" style="7" customWidth="1"/>
    <col min="9" max="9" width="25" customWidth="1"/>
    <col min="10" max="10" width="13" customWidth="1"/>
    <col min="11" max="11" width="27" customWidth="1"/>
    <col min="12" max="12" width="65" customWidth="1"/>
    <col min="13" max="13" width="15" customWidth="1"/>
    <col min="14" max="14" width="42" customWidth="1"/>
    <col min="15" max="16" width="16" customWidth="1"/>
    <col min="17" max="17" width="18" customWidth="1"/>
    <col min="18" max="23" width="30" customWidth="1"/>
  </cols>
  <sheetData>
    <row r="1" ht="32" customHeight="1" spans="1:23" s="1" customFormat="1" x14ac:dyDescent="0.25">
      <c r="A1" s="2" t="s">
        <v>57</v>
      </c>
      <c r="B1" s="2" t="s">
        <v>58</v>
      </c>
      <c r="C1" s="2" t="s">
        <v>59</v>
      </c>
      <c r="D1" s="2" t="s">
        <v>60</v>
      </c>
      <c r="E1" s="8" t="s">
        <v>61</v>
      </c>
      <c r="F1" s="2" t="s">
        <v>62</v>
      </c>
      <c r="G1" s="2" t="s">
        <v>63</v>
      </c>
      <c r="H1" s="8" t="s">
        <v>64</v>
      </c>
      <c r="I1" s="2" t="s">
        <v>65</v>
      </c>
      <c r="J1" s="2" t="s">
        <v>66</v>
      </c>
      <c r="K1" s="2" t="s">
        <v>67</v>
      </c>
      <c r="L1" s="2" t="s">
        <v>68</v>
      </c>
      <c r="M1" s="2" t="s">
        <v>69</v>
      </c>
      <c r="N1" s="2" t="s">
        <v>70</v>
      </c>
      <c r="O1" s="2" t="s">
        <v>71</v>
      </c>
      <c r="P1" s="2" t="s">
        <v>72</v>
      </c>
      <c r="Q1" s="2" t="s">
        <v>73</v>
      </c>
      <c r="R1" s="2" t="s">
        <v>74</v>
      </c>
      <c r="S1" s="2" t="s">
        <v>75</v>
      </c>
      <c r="T1" s="2" t="s">
        <v>76</v>
      </c>
      <c r="U1" s="2" t="s">
        <v>77</v>
      </c>
      <c r="V1" s="2" t="s">
        <v>78</v>
      </c>
      <c r="W1" s="2" t="s">
        <v>79</v>
      </c>
    </row>
    <row r="2" ht="42" customHeight="1" spans="1:23" s="9" customFormat="1" x14ac:dyDescent="0.25">
      <c r="A2" s="10" t="s">
        <v>80</v>
      </c>
      <c r="B2" s="10" t="s">
        <v>81</v>
      </c>
      <c r="C2" s="11">
        <v>46218</v>
      </c>
      <c r="D2" s="10" t="s">
        <v>82</v>
      </c>
      <c r="E2" s="12">
        <v>127</v>
      </c>
      <c r="F2" s="11">
        <v>46218</v>
      </c>
      <c r="G2" s="10" t="s">
        <v>82</v>
      </c>
      <c r="H2" s="12">
        <v>127</v>
      </c>
      <c r="I2" s="10" t="s">
        <v>83</v>
      </c>
      <c r="J2" s="10">
        <v>0</v>
      </c>
      <c r="K2" s="10" t="s">
        <v>84</v>
      </c>
      <c r="L2" s="10" t="s">
        <v>85</v>
      </c>
      <c r="M2" s="10" t="s">
        <v>86</v>
      </c>
      <c r="N2" s="9"/>
      <c r="O2" s="10">
        <v>1</v>
      </c>
      <c r="P2" s="10">
        <v>1</v>
      </c>
      <c r="Q2" s="10" t="s">
        <v>87</v>
      </c>
      <c r="R2" s="13" t="s">
        <v>88</v>
      </c>
      <c r="S2" s="9"/>
      <c r="T2" s="9"/>
      <c r="U2" s="13" t="s">
        <v>89</v>
      </c>
      <c r="V2" s="9"/>
      <c r="W2" s="9"/>
    </row>
    <row r="3" ht="42" customHeight="1" spans="1:23" s="9" customFormat="1" x14ac:dyDescent="0.25">
      <c r="A3" s="10" t="s">
        <v>90</v>
      </c>
      <c r="B3" s="10" t="s">
        <v>81</v>
      </c>
      <c r="C3" s="11">
        <v>46218</v>
      </c>
      <c r="D3" s="10" t="s">
        <v>91</v>
      </c>
      <c r="E3" s="12">
        <v>127</v>
      </c>
      <c r="F3" s="11">
        <v>46218</v>
      </c>
      <c r="G3" s="10" t="s">
        <v>91</v>
      </c>
      <c r="H3" s="12">
        <v>127</v>
      </c>
      <c r="I3" s="10" t="s">
        <v>83</v>
      </c>
      <c r="J3" s="10">
        <v>0</v>
      </c>
      <c r="K3" s="10" t="s">
        <v>84</v>
      </c>
      <c r="L3" s="10" t="s">
        <v>85</v>
      </c>
      <c r="M3" s="10" t="s">
        <v>86</v>
      </c>
      <c r="N3" s="9"/>
      <c r="O3" s="10">
        <v>1</v>
      </c>
      <c r="P3" s="10">
        <v>1</v>
      </c>
      <c r="Q3" s="10" t="s">
        <v>87</v>
      </c>
      <c r="R3" s="13" t="s">
        <v>92</v>
      </c>
      <c r="S3" s="9"/>
      <c r="T3" s="9"/>
      <c r="U3" s="13" t="s">
        <v>93</v>
      </c>
      <c r="V3" s="9"/>
      <c r="W3" s="9"/>
    </row>
    <row r="4" ht="42" customHeight="1" spans="1:23" s="9" customFormat="1" x14ac:dyDescent="0.25">
      <c r="A4" s="10" t="s">
        <v>94</v>
      </c>
      <c r="B4" s="10" t="s">
        <v>81</v>
      </c>
      <c r="C4" s="11">
        <v>46218</v>
      </c>
      <c r="D4" s="10" t="s">
        <v>95</v>
      </c>
      <c r="E4" s="12">
        <v>127</v>
      </c>
      <c r="F4" s="11">
        <v>46218</v>
      </c>
      <c r="G4" s="10" t="s">
        <v>95</v>
      </c>
      <c r="H4" s="12">
        <v>127</v>
      </c>
      <c r="I4" s="10" t="s">
        <v>83</v>
      </c>
      <c r="J4" s="10">
        <v>0</v>
      </c>
      <c r="K4" s="10" t="s">
        <v>84</v>
      </c>
      <c r="L4" s="10" t="s">
        <v>85</v>
      </c>
      <c r="M4" s="10" t="s">
        <v>86</v>
      </c>
      <c r="N4" s="9"/>
      <c r="O4" s="10">
        <v>1</v>
      </c>
      <c r="P4" s="10">
        <v>1</v>
      </c>
      <c r="Q4" s="10" t="s">
        <v>87</v>
      </c>
      <c r="R4" s="13" t="s">
        <v>96</v>
      </c>
      <c r="S4" s="9"/>
      <c r="T4" s="9"/>
      <c r="U4" s="13" t="s">
        <v>97</v>
      </c>
      <c r="V4" s="9"/>
      <c r="W4" s="9"/>
    </row>
    <row r="5" ht="42" customHeight="1" spans="1:23" s="9" customFormat="1" x14ac:dyDescent="0.25">
      <c r="A5" s="10" t="s">
        <v>98</v>
      </c>
      <c r="B5" s="10" t="s">
        <v>81</v>
      </c>
      <c r="C5" s="11">
        <v>46218</v>
      </c>
      <c r="D5" s="10" t="s">
        <v>99</v>
      </c>
      <c r="E5" s="12">
        <v>127</v>
      </c>
      <c r="F5" s="11">
        <v>46218</v>
      </c>
      <c r="G5" s="10" t="s">
        <v>99</v>
      </c>
      <c r="H5" s="12">
        <v>127</v>
      </c>
      <c r="I5" s="10" t="s">
        <v>83</v>
      </c>
      <c r="J5" s="10">
        <v>0</v>
      </c>
      <c r="K5" s="10" t="s">
        <v>84</v>
      </c>
      <c r="L5" s="10" t="s">
        <v>85</v>
      </c>
      <c r="M5" s="10" t="s">
        <v>86</v>
      </c>
      <c r="N5" s="9"/>
      <c r="O5" s="10">
        <v>1</v>
      </c>
      <c r="P5" s="10">
        <v>1</v>
      </c>
      <c r="Q5" s="10" t="s">
        <v>87</v>
      </c>
      <c r="R5" s="13" t="s">
        <v>100</v>
      </c>
      <c r="S5" s="9"/>
      <c r="T5" s="9"/>
      <c r="U5" s="13" t="s">
        <v>101</v>
      </c>
      <c r="V5" s="9"/>
      <c r="W5" s="9"/>
    </row>
    <row r="6" ht="42" customHeight="1" spans="1:23" s="9" customFormat="1" x14ac:dyDescent="0.25">
      <c r="A6" s="10" t="s">
        <v>102</v>
      </c>
      <c r="B6" s="10" t="s">
        <v>81</v>
      </c>
      <c r="C6" s="11">
        <v>46218</v>
      </c>
      <c r="D6" s="10" t="s">
        <v>103</v>
      </c>
      <c r="E6" s="12">
        <v>127</v>
      </c>
      <c r="F6" s="11">
        <v>46218</v>
      </c>
      <c r="G6" s="10" t="s">
        <v>103</v>
      </c>
      <c r="H6" s="12">
        <v>127</v>
      </c>
      <c r="I6" s="10" t="s">
        <v>83</v>
      </c>
      <c r="J6" s="10">
        <v>0</v>
      </c>
      <c r="K6" s="10" t="s">
        <v>84</v>
      </c>
      <c r="L6" s="10" t="s">
        <v>85</v>
      </c>
      <c r="M6" s="10" t="s">
        <v>86</v>
      </c>
      <c r="N6" s="9"/>
      <c r="O6" s="10">
        <v>1</v>
      </c>
      <c r="P6" s="10">
        <v>1</v>
      </c>
      <c r="Q6" s="10" t="s">
        <v>87</v>
      </c>
      <c r="R6" s="13" t="s">
        <v>104</v>
      </c>
      <c r="S6" s="9"/>
      <c r="T6" s="9"/>
      <c r="U6" s="13" t="s">
        <v>105</v>
      </c>
      <c r="V6" s="9"/>
      <c r="W6" s="9"/>
    </row>
    <row r="7" ht="42" customHeight="1" spans="1:23" s="9" customFormat="1" x14ac:dyDescent="0.25">
      <c r="A7" s="10" t="s">
        <v>106</v>
      </c>
      <c r="B7" s="10" t="s">
        <v>81</v>
      </c>
      <c r="C7" s="11">
        <v>46218</v>
      </c>
      <c r="D7" s="10" t="s">
        <v>107</v>
      </c>
      <c r="E7" s="12">
        <v>127</v>
      </c>
      <c r="F7" s="11">
        <v>46218</v>
      </c>
      <c r="G7" s="10" t="s">
        <v>107</v>
      </c>
      <c r="H7" s="12">
        <v>127</v>
      </c>
      <c r="I7" s="10" t="s">
        <v>83</v>
      </c>
      <c r="J7" s="10">
        <v>0</v>
      </c>
      <c r="K7" s="10" t="s">
        <v>84</v>
      </c>
      <c r="L7" s="10" t="s">
        <v>85</v>
      </c>
      <c r="M7" s="10" t="s">
        <v>86</v>
      </c>
      <c r="N7" s="9"/>
      <c r="O7" s="10">
        <v>1</v>
      </c>
      <c r="P7" s="10">
        <v>1</v>
      </c>
      <c r="Q7" s="10" t="s">
        <v>87</v>
      </c>
      <c r="R7" s="13" t="s">
        <v>108</v>
      </c>
      <c r="S7" s="9"/>
      <c r="T7" s="9"/>
      <c r="U7" s="13" t="s">
        <v>109</v>
      </c>
      <c r="V7" s="9"/>
      <c r="W7" s="9"/>
    </row>
    <row r="8" ht="42" customHeight="1" spans="1:23" s="9" customFormat="1" x14ac:dyDescent="0.25">
      <c r="A8" s="10" t="s">
        <v>110</v>
      </c>
      <c r="B8" s="10" t="s">
        <v>81</v>
      </c>
      <c r="C8" s="11">
        <v>46218</v>
      </c>
      <c r="D8" s="10" t="s">
        <v>111</v>
      </c>
      <c r="E8" s="12">
        <v>127</v>
      </c>
      <c r="F8" s="11">
        <v>46218</v>
      </c>
      <c r="G8" s="10" t="s">
        <v>111</v>
      </c>
      <c r="H8" s="12">
        <v>127</v>
      </c>
      <c r="I8" s="10" t="s">
        <v>83</v>
      </c>
      <c r="J8" s="10">
        <v>0</v>
      </c>
      <c r="K8" s="10" t="s">
        <v>84</v>
      </c>
      <c r="L8" s="10" t="s">
        <v>85</v>
      </c>
      <c r="M8" s="10" t="s">
        <v>86</v>
      </c>
      <c r="N8" s="9"/>
      <c r="O8" s="10">
        <v>1</v>
      </c>
      <c r="P8" s="10">
        <v>1</v>
      </c>
      <c r="Q8" s="10" t="s">
        <v>87</v>
      </c>
      <c r="R8" s="13" t="s">
        <v>112</v>
      </c>
      <c r="S8" s="9"/>
      <c r="T8" s="9"/>
      <c r="U8" s="13" t="s">
        <v>113</v>
      </c>
      <c r="V8" s="9"/>
      <c r="W8" s="9"/>
    </row>
    <row r="9" ht="42" customHeight="1" spans="1:23" s="9" customFormat="1" x14ac:dyDescent="0.25">
      <c r="A9" s="10" t="s">
        <v>114</v>
      </c>
      <c r="B9" s="10" t="s">
        <v>81</v>
      </c>
      <c r="C9" s="11">
        <v>46218</v>
      </c>
      <c r="D9" s="10" t="s">
        <v>115</v>
      </c>
      <c r="E9" s="12">
        <v>127</v>
      </c>
      <c r="F9" s="11">
        <v>46218</v>
      </c>
      <c r="G9" s="10" t="s">
        <v>115</v>
      </c>
      <c r="H9" s="12">
        <v>127</v>
      </c>
      <c r="I9" s="10" t="s">
        <v>83</v>
      </c>
      <c r="J9" s="10">
        <v>0</v>
      </c>
      <c r="K9" s="10" t="s">
        <v>84</v>
      </c>
      <c r="L9" s="10" t="s">
        <v>85</v>
      </c>
      <c r="M9" s="10" t="s">
        <v>86</v>
      </c>
      <c r="N9" s="9"/>
      <c r="O9" s="10">
        <v>1</v>
      </c>
      <c r="P9" s="10">
        <v>1</v>
      </c>
      <c r="Q9" s="10" t="s">
        <v>87</v>
      </c>
      <c r="R9" s="13" t="s">
        <v>116</v>
      </c>
      <c r="S9" s="9"/>
      <c r="T9" s="9"/>
      <c r="U9" s="13" t="s">
        <v>117</v>
      </c>
      <c r="V9" s="9"/>
      <c r="W9" s="9"/>
    </row>
    <row r="10" ht="42" customHeight="1" spans="1:23" s="9" customFormat="1" x14ac:dyDescent="0.25">
      <c r="A10" s="10" t="s">
        <v>118</v>
      </c>
      <c r="B10" s="10" t="s">
        <v>81</v>
      </c>
      <c r="C10" s="11">
        <v>46218</v>
      </c>
      <c r="D10" s="10" t="s">
        <v>119</v>
      </c>
      <c r="E10" s="12">
        <v>127</v>
      </c>
      <c r="F10" s="11">
        <v>46218</v>
      </c>
      <c r="G10" s="10" t="s">
        <v>119</v>
      </c>
      <c r="H10" s="12">
        <v>127</v>
      </c>
      <c r="I10" s="10" t="s">
        <v>83</v>
      </c>
      <c r="J10" s="10">
        <v>0</v>
      </c>
      <c r="K10" s="10" t="s">
        <v>84</v>
      </c>
      <c r="L10" s="10" t="s">
        <v>85</v>
      </c>
      <c r="M10" s="10" t="s">
        <v>86</v>
      </c>
      <c r="N10" s="9"/>
      <c r="O10" s="10">
        <v>1</v>
      </c>
      <c r="P10" s="10">
        <v>1</v>
      </c>
      <c r="Q10" s="10" t="s">
        <v>87</v>
      </c>
      <c r="R10" s="13" t="s">
        <v>120</v>
      </c>
      <c r="S10" s="9"/>
      <c r="T10" s="9"/>
      <c r="U10" s="13" t="s">
        <v>121</v>
      </c>
      <c r="V10" s="9"/>
      <c r="W10" s="9"/>
    </row>
    <row r="11" ht="42" customHeight="1" spans="1:23" s="9" customFormat="1" x14ac:dyDescent="0.25">
      <c r="A11" s="10" t="s">
        <v>122</v>
      </c>
      <c r="B11" s="10" t="s">
        <v>81</v>
      </c>
      <c r="C11" s="11">
        <v>46218</v>
      </c>
      <c r="D11" s="10" t="s">
        <v>123</v>
      </c>
      <c r="E11" s="12">
        <v>127</v>
      </c>
      <c r="F11" s="11">
        <v>46218</v>
      </c>
      <c r="G11" s="10" t="s">
        <v>123</v>
      </c>
      <c r="H11" s="12">
        <v>127</v>
      </c>
      <c r="I11" s="10" t="s">
        <v>83</v>
      </c>
      <c r="J11" s="10">
        <v>0</v>
      </c>
      <c r="K11" s="10" t="s">
        <v>84</v>
      </c>
      <c r="L11" s="10" t="s">
        <v>85</v>
      </c>
      <c r="M11" s="10" t="s">
        <v>86</v>
      </c>
      <c r="N11" s="9"/>
      <c r="O11" s="10">
        <v>1</v>
      </c>
      <c r="P11" s="10">
        <v>1</v>
      </c>
      <c r="Q11" s="10" t="s">
        <v>87</v>
      </c>
      <c r="R11" s="13" t="s">
        <v>124</v>
      </c>
      <c r="S11" s="9"/>
      <c r="T11" s="9"/>
      <c r="U11" s="13" t="s">
        <v>125</v>
      </c>
      <c r="V11" s="9"/>
      <c r="W11" s="9"/>
    </row>
    <row r="12" ht="42" customHeight="1" spans="1:23" s="9" customFormat="1" x14ac:dyDescent="0.25">
      <c r="A12" s="10" t="s">
        <v>126</v>
      </c>
      <c r="B12" s="10" t="s">
        <v>127</v>
      </c>
      <c r="C12" s="11">
        <v>46218</v>
      </c>
      <c r="D12" s="10" t="s">
        <v>128</v>
      </c>
      <c r="E12" s="12">
        <v>6750</v>
      </c>
      <c r="F12" s="11">
        <v>46218</v>
      </c>
      <c r="G12" s="10" t="s">
        <v>128</v>
      </c>
      <c r="H12" s="12">
        <v>6750</v>
      </c>
      <c r="I12" s="10" t="s">
        <v>129</v>
      </c>
      <c r="J12" s="10">
        <v>0</v>
      </c>
      <c r="K12" s="10" t="s">
        <v>130</v>
      </c>
      <c r="L12" s="10" t="s">
        <v>131</v>
      </c>
      <c r="M12" s="10" t="s">
        <v>86</v>
      </c>
      <c r="N12" s="9"/>
      <c r="O12" s="10">
        <v>1</v>
      </c>
      <c r="P12" s="10">
        <v>3</v>
      </c>
      <c r="Q12" s="10" t="s">
        <v>87</v>
      </c>
      <c r="R12" s="13" t="s">
        <v>132</v>
      </c>
      <c r="S12" s="9"/>
      <c r="T12" s="9"/>
      <c r="U12" s="13" t="s">
        <v>133</v>
      </c>
      <c r="V12" s="13" t="s">
        <v>134</v>
      </c>
      <c r="W12" s="13" t="s">
        <v>135</v>
      </c>
    </row>
    <row r="13" ht="42" customHeight="1" spans="1:23" s="9" customFormat="1" x14ac:dyDescent="0.25">
      <c r="A13" s="10" t="s">
        <v>136</v>
      </c>
      <c r="B13" s="10" t="s">
        <v>137</v>
      </c>
      <c r="C13" s="11">
        <v>46218</v>
      </c>
      <c r="D13" s="10" t="s">
        <v>138</v>
      </c>
      <c r="E13" s="12">
        <v>6750</v>
      </c>
      <c r="F13" s="11">
        <v>46218</v>
      </c>
      <c r="G13" s="10" t="s">
        <v>138</v>
      </c>
      <c r="H13" s="12">
        <v>6750</v>
      </c>
      <c r="I13" s="10" t="s">
        <v>139</v>
      </c>
      <c r="J13" s="10">
        <v>0</v>
      </c>
      <c r="K13" s="10" t="s">
        <v>130</v>
      </c>
      <c r="L13" s="10" t="s">
        <v>140</v>
      </c>
      <c r="M13" s="10" t="s">
        <v>86</v>
      </c>
      <c r="N13" s="9"/>
      <c r="O13" s="10">
        <v>3</v>
      </c>
      <c r="P13" s="10">
        <v>1</v>
      </c>
      <c r="Q13" s="10" t="s">
        <v>87</v>
      </c>
      <c r="R13" s="13" t="s">
        <v>141</v>
      </c>
      <c r="S13" s="13" t="s">
        <v>142</v>
      </c>
      <c r="T13" s="13" t="s">
        <v>143</v>
      </c>
      <c r="U13" s="13" t="s">
        <v>144</v>
      </c>
      <c r="V13" s="9"/>
      <c r="W13" s="9"/>
    </row>
    <row r="14" ht="42" customHeight="1" spans="1:23" s="9" customFormat="1" x14ac:dyDescent="0.25">
      <c r="A14" s="10" t="s">
        <v>145</v>
      </c>
      <c r="B14" s="10" t="s">
        <v>127</v>
      </c>
      <c r="C14" s="11">
        <v>46218</v>
      </c>
      <c r="D14" s="10" t="s">
        <v>146</v>
      </c>
      <c r="E14" s="12">
        <v>-300</v>
      </c>
      <c r="F14" s="11">
        <v>46218</v>
      </c>
      <c r="G14" s="10" t="s">
        <v>146</v>
      </c>
      <c r="H14" s="12">
        <v>-300</v>
      </c>
      <c r="I14" s="10" t="s">
        <v>147</v>
      </c>
      <c r="J14" s="10">
        <v>0</v>
      </c>
      <c r="K14" s="10" t="s">
        <v>148</v>
      </c>
      <c r="L14" s="10" t="s">
        <v>149</v>
      </c>
      <c r="M14" s="10" t="s">
        <v>86</v>
      </c>
      <c r="N14" s="9"/>
      <c r="O14" s="10">
        <v>1</v>
      </c>
      <c r="P14" s="10">
        <v>2</v>
      </c>
      <c r="Q14" s="10" t="s">
        <v>87</v>
      </c>
      <c r="R14" s="13" t="s">
        <v>150</v>
      </c>
      <c r="S14" s="9"/>
      <c r="T14" s="9"/>
      <c r="U14" s="13" t="s">
        <v>151</v>
      </c>
      <c r="V14" s="13" t="s">
        <v>152</v>
      </c>
      <c r="W14" s="9"/>
    </row>
    <row r="15" ht="42" customHeight="1" spans="1:23" s="9" customFormat="1" x14ac:dyDescent="0.25">
      <c r="A15" s="10" t="s">
        <v>153</v>
      </c>
      <c r="B15" s="10" t="s">
        <v>137</v>
      </c>
      <c r="C15" s="11">
        <v>46218</v>
      </c>
      <c r="D15" s="10" t="s">
        <v>154</v>
      </c>
      <c r="E15" s="12">
        <v>-300</v>
      </c>
      <c r="F15" s="11">
        <v>46218</v>
      </c>
      <c r="G15" s="10" t="s">
        <v>154</v>
      </c>
      <c r="H15" s="12">
        <v>-300</v>
      </c>
      <c r="I15" s="10" t="s">
        <v>155</v>
      </c>
      <c r="J15" s="10">
        <v>0</v>
      </c>
      <c r="K15" s="10" t="s">
        <v>148</v>
      </c>
      <c r="L15" s="10" t="s">
        <v>156</v>
      </c>
      <c r="M15" s="10" t="s">
        <v>86</v>
      </c>
      <c r="N15" s="9"/>
      <c r="O15" s="10">
        <v>2</v>
      </c>
      <c r="P15" s="10">
        <v>1</v>
      </c>
      <c r="Q15" s="10" t="s">
        <v>87</v>
      </c>
      <c r="R15" s="13" t="s">
        <v>157</v>
      </c>
      <c r="S15" s="13" t="s">
        <v>158</v>
      </c>
      <c r="T15" s="9"/>
      <c r="U15" s="13" t="s">
        <v>159</v>
      </c>
      <c r="V15" s="9"/>
      <c r="W15" s="9"/>
    </row>
    <row r="16" ht="42" customHeight="1" spans="1:23" s="9" customFormat="1" x14ac:dyDescent="0.25">
      <c r="A16" s="10" t="s">
        <v>160</v>
      </c>
      <c r="B16" s="10" t="s">
        <v>127</v>
      </c>
      <c r="C16" s="11">
        <v>46218</v>
      </c>
      <c r="D16" s="10" t="s">
        <v>161</v>
      </c>
      <c r="E16" s="12">
        <v>6750</v>
      </c>
      <c r="F16" s="11">
        <v>46218</v>
      </c>
      <c r="G16" s="10" t="s">
        <v>161</v>
      </c>
      <c r="H16" s="12">
        <v>6750</v>
      </c>
      <c r="I16" s="10" t="s">
        <v>129</v>
      </c>
      <c r="J16" s="10">
        <v>0</v>
      </c>
      <c r="K16" s="10" t="s">
        <v>130</v>
      </c>
      <c r="L16" s="10" t="s">
        <v>162</v>
      </c>
      <c r="M16" s="10" t="s">
        <v>86</v>
      </c>
      <c r="N16" s="9"/>
      <c r="O16" s="10">
        <v>1</v>
      </c>
      <c r="P16" s="10">
        <v>3</v>
      </c>
      <c r="Q16" s="10" t="s">
        <v>87</v>
      </c>
      <c r="R16" s="13" t="s">
        <v>163</v>
      </c>
      <c r="S16" s="9"/>
      <c r="T16" s="9"/>
      <c r="U16" s="13" t="s">
        <v>164</v>
      </c>
      <c r="V16" s="13" t="s">
        <v>165</v>
      </c>
      <c r="W16" s="13" t="s">
        <v>166</v>
      </c>
    </row>
    <row r="17" ht="42" customHeight="1" spans="1:23" s="9" customFormat="1" x14ac:dyDescent="0.25">
      <c r="A17" s="10" t="s">
        <v>167</v>
      </c>
      <c r="B17" s="10" t="s">
        <v>137</v>
      </c>
      <c r="C17" s="11">
        <v>46218</v>
      </c>
      <c r="D17" s="10" t="s">
        <v>168</v>
      </c>
      <c r="E17" s="12">
        <v>6750</v>
      </c>
      <c r="F17" s="11">
        <v>46218</v>
      </c>
      <c r="G17" s="10" t="s">
        <v>168</v>
      </c>
      <c r="H17" s="12">
        <v>6750</v>
      </c>
      <c r="I17" s="10" t="s">
        <v>139</v>
      </c>
      <c r="J17" s="10">
        <v>0</v>
      </c>
      <c r="K17" s="10" t="s">
        <v>130</v>
      </c>
      <c r="L17" s="10" t="s">
        <v>169</v>
      </c>
      <c r="M17" s="10" t="s">
        <v>86</v>
      </c>
      <c r="N17" s="9"/>
      <c r="O17" s="10">
        <v>3</v>
      </c>
      <c r="P17" s="10">
        <v>1</v>
      </c>
      <c r="Q17" s="10" t="s">
        <v>87</v>
      </c>
      <c r="R17" s="13" t="s">
        <v>170</v>
      </c>
      <c r="S17" s="13" t="s">
        <v>171</v>
      </c>
      <c r="T17" s="13" t="s">
        <v>172</v>
      </c>
      <c r="U17" s="13" t="s">
        <v>173</v>
      </c>
      <c r="V17" s="9"/>
      <c r="W17" s="9"/>
    </row>
    <row r="18" ht="42" customHeight="1" spans="1:23" s="9" customFormat="1" x14ac:dyDescent="0.25">
      <c r="A18" s="10" t="s">
        <v>174</v>
      </c>
      <c r="B18" s="10" t="s">
        <v>127</v>
      </c>
      <c r="C18" s="11">
        <v>46218</v>
      </c>
      <c r="D18" s="10" t="s">
        <v>175</v>
      </c>
      <c r="E18" s="12">
        <v>-300</v>
      </c>
      <c r="F18" s="11">
        <v>46218</v>
      </c>
      <c r="G18" s="10" t="s">
        <v>175</v>
      </c>
      <c r="H18" s="12">
        <v>-300</v>
      </c>
      <c r="I18" s="10" t="s">
        <v>147</v>
      </c>
      <c r="J18" s="10">
        <v>0</v>
      </c>
      <c r="K18" s="10" t="s">
        <v>148</v>
      </c>
      <c r="L18" s="10" t="s">
        <v>176</v>
      </c>
      <c r="M18" s="10" t="s">
        <v>86</v>
      </c>
      <c r="N18" s="9"/>
      <c r="O18" s="10">
        <v>1</v>
      </c>
      <c r="P18" s="10">
        <v>2</v>
      </c>
      <c r="Q18" s="10" t="s">
        <v>87</v>
      </c>
      <c r="R18" s="13" t="s">
        <v>177</v>
      </c>
      <c r="S18" s="9"/>
      <c r="T18" s="9"/>
      <c r="U18" s="13" t="s">
        <v>178</v>
      </c>
      <c r="V18" s="13" t="s">
        <v>179</v>
      </c>
      <c r="W18" s="9"/>
    </row>
    <row r="19" ht="42" customHeight="1" spans="1:23" s="9" customFormat="1" x14ac:dyDescent="0.25">
      <c r="A19" s="10" t="s">
        <v>180</v>
      </c>
      <c r="B19" s="10" t="s">
        <v>137</v>
      </c>
      <c r="C19" s="11">
        <v>46218</v>
      </c>
      <c r="D19" s="10" t="s">
        <v>181</v>
      </c>
      <c r="E19" s="12">
        <v>-300</v>
      </c>
      <c r="F19" s="11">
        <v>46218</v>
      </c>
      <c r="G19" s="10" t="s">
        <v>181</v>
      </c>
      <c r="H19" s="12">
        <v>-300</v>
      </c>
      <c r="I19" s="10" t="s">
        <v>155</v>
      </c>
      <c r="J19" s="10">
        <v>0</v>
      </c>
      <c r="K19" s="10" t="s">
        <v>148</v>
      </c>
      <c r="L19" s="10" t="s">
        <v>182</v>
      </c>
      <c r="M19" s="10" t="s">
        <v>86</v>
      </c>
      <c r="N19" s="9"/>
      <c r="O19" s="10">
        <v>2</v>
      </c>
      <c r="P19" s="10">
        <v>1</v>
      </c>
      <c r="Q19" s="10" t="s">
        <v>87</v>
      </c>
      <c r="R19" s="13" t="s">
        <v>183</v>
      </c>
      <c r="S19" s="13" t="s">
        <v>184</v>
      </c>
      <c r="T19" s="9"/>
      <c r="U19" s="13" t="s">
        <v>185</v>
      </c>
      <c r="V19" s="9"/>
      <c r="W19" s="9"/>
    </row>
    <row r="20" ht="42" customHeight="1" spans="1:23" s="9" customFormat="1" x14ac:dyDescent="0.25">
      <c r="A20" s="10" t="s">
        <v>186</v>
      </c>
      <c r="B20" s="10" t="s">
        <v>127</v>
      </c>
      <c r="C20" s="11">
        <v>46218</v>
      </c>
      <c r="D20" s="10" t="s">
        <v>187</v>
      </c>
      <c r="E20" s="12">
        <v>6750</v>
      </c>
      <c r="F20" s="11">
        <v>46218</v>
      </c>
      <c r="G20" s="10" t="s">
        <v>187</v>
      </c>
      <c r="H20" s="12">
        <v>6750</v>
      </c>
      <c r="I20" s="10" t="s">
        <v>129</v>
      </c>
      <c r="J20" s="10">
        <v>0</v>
      </c>
      <c r="K20" s="10" t="s">
        <v>130</v>
      </c>
      <c r="L20" s="10" t="s">
        <v>188</v>
      </c>
      <c r="M20" s="10" t="s">
        <v>86</v>
      </c>
      <c r="N20" s="9"/>
      <c r="O20" s="10">
        <v>1</v>
      </c>
      <c r="P20" s="10">
        <v>3</v>
      </c>
      <c r="Q20" s="10" t="s">
        <v>87</v>
      </c>
      <c r="R20" s="13" t="s">
        <v>189</v>
      </c>
      <c r="S20" s="9"/>
      <c r="T20" s="9"/>
      <c r="U20" s="13" t="s">
        <v>190</v>
      </c>
      <c r="V20" s="13" t="s">
        <v>191</v>
      </c>
      <c r="W20" s="13" t="s">
        <v>192</v>
      </c>
    </row>
    <row r="21" ht="42" customHeight="1" spans="1:23" s="9" customFormat="1" x14ac:dyDescent="0.25">
      <c r="A21" s="10" t="s">
        <v>193</v>
      </c>
      <c r="B21" s="10" t="s">
        <v>137</v>
      </c>
      <c r="C21" s="11">
        <v>46218</v>
      </c>
      <c r="D21" s="10" t="s">
        <v>194</v>
      </c>
      <c r="E21" s="12">
        <v>6750</v>
      </c>
      <c r="F21" s="11">
        <v>46218</v>
      </c>
      <c r="G21" s="10" t="s">
        <v>194</v>
      </c>
      <c r="H21" s="12">
        <v>6750</v>
      </c>
      <c r="I21" s="10" t="s">
        <v>139</v>
      </c>
      <c r="J21" s="10">
        <v>0</v>
      </c>
      <c r="K21" s="10" t="s">
        <v>130</v>
      </c>
      <c r="L21" s="10" t="s">
        <v>195</v>
      </c>
      <c r="M21" s="10" t="s">
        <v>86</v>
      </c>
      <c r="N21" s="9"/>
      <c r="O21" s="10">
        <v>3</v>
      </c>
      <c r="P21" s="10">
        <v>1</v>
      </c>
      <c r="Q21" s="10" t="s">
        <v>87</v>
      </c>
      <c r="R21" s="13" t="s">
        <v>196</v>
      </c>
      <c r="S21" s="13" t="s">
        <v>197</v>
      </c>
      <c r="T21" s="13" t="s">
        <v>198</v>
      </c>
      <c r="U21" s="13" t="s">
        <v>199</v>
      </c>
      <c r="V21" s="9"/>
      <c r="W21" s="9"/>
    </row>
    <row r="22" ht="42" customHeight="1" spans="1:23" s="9" customFormat="1" x14ac:dyDescent="0.25">
      <c r="A22" s="10" t="s">
        <v>200</v>
      </c>
      <c r="B22" s="10" t="s">
        <v>127</v>
      </c>
      <c r="C22" s="11">
        <v>46218</v>
      </c>
      <c r="D22" s="10" t="s">
        <v>201</v>
      </c>
      <c r="E22" s="12">
        <v>-300</v>
      </c>
      <c r="F22" s="11">
        <v>46218</v>
      </c>
      <c r="G22" s="10" t="s">
        <v>201</v>
      </c>
      <c r="H22" s="12">
        <v>-300</v>
      </c>
      <c r="I22" s="10" t="s">
        <v>147</v>
      </c>
      <c r="J22" s="10">
        <v>0</v>
      </c>
      <c r="K22" s="10" t="s">
        <v>148</v>
      </c>
      <c r="L22" s="10" t="s">
        <v>202</v>
      </c>
      <c r="M22" s="10" t="s">
        <v>86</v>
      </c>
      <c r="N22" s="9"/>
      <c r="O22" s="10">
        <v>1</v>
      </c>
      <c r="P22" s="10">
        <v>2</v>
      </c>
      <c r="Q22" s="10" t="s">
        <v>87</v>
      </c>
      <c r="R22" s="13" t="s">
        <v>203</v>
      </c>
      <c r="S22" s="9"/>
      <c r="T22" s="9"/>
      <c r="U22" s="13" t="s">
        <v>204</v>
      </c>
      <c r="V22" s="13" t="s">
        <v>205</v>
      </c>
      <c r="W22" s="9"/>
    </row>
    <row r="23" ht="42" customHeight="1" spans="1:23" s="9" customFormat="1" x14ac:dyDescent="0.25">
      <c r="A23" s="10" t="s">
        <v>206</v>
      </c>
      <c r="B23" s="10" t="s">
        <v>137</v>
      </c>
      <c r="C23" s="11">
        <v>46218</v>
      </c>
      <c r="D23" s="10" t="s">
        <v>207</v>
      </c>
      <c r="E23" s="12">
        <v>-300</v>
      </c>
      <c r="F23" s="11">
        <v>46218</v>
      </c>
      <c r="G23" s="10" t="s">
        <v>207</v>
      </c>
      <c r="H23" s="12">
        <v>-300</v>
      </c>
      <c r="I23" s="10" t="s">
        <v>155</v>
      </c>
      <c r="J23" s="10">
        <v>0</v>
      </c>
      <c r="K23" s="10" t="s">
        <v>148</v>
      </c>
      <c r="L23" s="10" t="s">
        <v>208</v>
      </c>
      <c r="M23" s="10" t="s">
        <v>86</v>
      </c>
      <c r="N23" s="9"/>
      <c r="O23" s="10">
        <v>2</v>
      </c>
      <c r="P23" s="10">
        <v>1</v>
      </c>
      <c r="Q23" s="10" t="s">
        <v>87</v>
      </c>
      <c r="R23" s="13" t="s">
        <v>209</v>
      </c>
      <c r="S23" s="13" t="s">
        <v>210</v>
      </c>
      <c r="T23" s="9"/>
      <c r="U23" s="13" t="s">
        <v>211</v>
      </c>
      <c r="V23" s="9"/>
      <c r="W23" s="9"/>
    </row>
    <row r="24" ht="42" customHeight="1" spans="1:23" s="9" customFormat="1" x14ac:dyDescent="0.25">
      <c r="A24" s="10" t="s">
        <v>212</v>
      </c>
      <c r="B24" s="10" t="s">
        <v>127</v>
      </c>
      <c r="C24" s="11">
        <v>46218</v>
      </c>
      <c r="D24" s="10" t="s">
        <v>213</v>
      </c>
      <c r="E24" s="12">
        <v>6750</v>
      </c>
      <c r="F24" s="11">
        <v>46218</v>
      </c>
      <c r="G24" s="10" t="s">
        <v>213</v>
      </c>
      <c r="H24" s="12">
        <v>6750</v>
      </c>
      <c r="I24" s="10" t="s">
        <v>129</v>
      </c>
      <c r="J24" s="10">
        <v>0</v>
      </c>
      <c r="K24" s="10" t="s">
        <v>130</v>
      </c>
      <c r="L24" s="10" t="s">
        <v>214</v>
      </c>
      <c r="M24" s="10" t="s">
        <v>86</v>
      </c>
      <c r="N24" s="9"/>
      <c r="O24" s="10">
        <v>1</v>
      </c>
      <c r="P24" s="10">
        <v>3</v>
      </c>
      <c r="Q24" s="10" t="s">
        <v>87</v>
      </c>
      <c r="R24" s="13" t="s">
        <v>215</v>
      </c>
      <c r="S24" s="9"/>
      <c r="T24" s="9"/>
      <c r="U24" s="13" t="s">
        <v>216</v>
      </c>
      <c r="V24" s="13" t="s">
        <v>217</v>
      </c>
      <c r="W24" s="13" t="s">
        <v>218</v>
      </c>
    </row>
    <row r="25" ht="42" customHeight="1" spans="1:23" s="9" customFormat="1" x14ac:dyDescent="0.25">
      <c r="A25" s="10" t="s">
        <v>219</v>
      </c>
      <c r="B25" s="10" t="s">
        <v>137</v>
      </c>
      <c r="C25" s="11">
        <v>46218</v>
      </c>
      <c r="D25" s="10" t="s">
        <v>220</v>
      </c>
      <c r="E25" s="12">
        <v>6750</v>
      </c>
      <c r="F25" s="11">
        <v>46218</v>
      </c>
      <c r="G25" s="10" t="s">
        <v>220</v>
      </c>
      <c r="H25" s="12">
        <v>6750</v>
      </c>
      <c r="I25" s="10" t="s">
        <v>139</v>
      </c>
      <c r="J25" s="10">
        <v>0</v>
      </c>
      <c r="K25" s="10" t="s">
        <v>130</v>
      </c>
      <c r="L25" s="10" t="s">
        <v>221</v>
      </c>
      <c r="M25" s="10" t="s">
        <v>86</v>
      </c>
      <c r="N25" s="9"/>
      <c r="O25" s="10">
        <v>3</v>
      </c>
      <c r="P25" s="10">
        <v>1</v>
      </c>
      <c r="Q25" s="10" t="s">
        <v>87</v>
      </c>
      <c r="R25" s="13" t="s">
        <v>222</v>
      </c>
      <c r="S25" s="13" t="s">
        <v>223</v>
      </c>
      <c r="T25" s="13" t="s">
        <v>224</v>
      </c>
      <c r="U25" s="13" t="s">
        <v>225</v>
      </c>
      <c r="V25" s="9"/>
      <c r="W25" s="9"/>
    </row>
    <row r="26" ht="42" customHeight="1" spans="1:23" s="9" customFormat="1" x14ac:dyDescent="0.25">
      <c r="A26" s="10" t="s">
        <v>226</v>
      </c>
      <c r="B26" s="10" t="s">
        <v>127</v>
      </c>
      <c r="C26" s="11">
        <v>46218</v>
      </c>
      <c r="D26" s="10" t="s">
        <v>227</v>
      </c>
      <c r="E26" s="12">
        <v>-300</v>
      </c>
      <c r="F26" s="11">
        <v>46218</v>
      </c>
      <c r="G26" s="10" t="s">
        <v>227</v>
      </c>
      <c r="H26" s="12">
        <v>-300</v>
      </c>
      <c r="I26" s="10" t="s">
        <v>147</v>
      </c>
      <c r="J26" s="10">
        <v>0</v>
      </c>
      <c r="K26" s="10" t="s">
        <v>148</v>
      </c>
      <c r="L26" s="10" t="s">
        <v>228</v>
      </c>
      <c r="M26" s="10" t="s">
        <v>86</v>
      </c>
      <c r="N26" s="9"/>
      <c r="O26" s="10">
        <v>1</v>
      </c>
      <c r="P26" s="10">
        <v>2</v>
      </c>
      <c r="Q26" s="10" t="s">
        <v>87</v>
      </c>
      <c r="R26" s="13" t="s">
        <v>229</v>
      </c>
      <c r="S26" s="9"/>
      <c r="T26" s="9"/>
      <c r="U26" s="13" t="s">
        <v>230</v>
      </c>
      <c r="V26" s="13" t="s">
        <v>231</v>
      </c>
      <c r="W26" s="9"/>
    </row>
    <row r="27" ht="42" customHeight="1" spans="1:23" s="9" customFormat="1" x14ac:dyDescent="0.25">
      <c r="A27" s="10" t="s">
        <v>232</v>
      </c>
      <c r="B27" s="10" t="s">
        <v>137</v>
      </c>
      <c r="C27" s="11">
        <v>46218</v>
      </c>
      <c r="D27" s="10" t="s">
        <v>233</v>
      </c>
      <c r="E27" s="12">
        <v>-300</v>
      </c>
      <c r="F27" s="11">
        <v>46218</v>
      </c>
      <c r="G27" s="10" t="s">
        <v>233</v>
      </c>
      <c r="H27" s="12">
        <v>-300</v>
      </c>
      <c r="I27" s="10" t="s">
        <v>155</v>
      </c>
      <c r="J27" s="10">
        <v>0</v>
      </c>
      <c r="K27" s="10" t="s">
        <v>148</v>
      </c>
      <c r="L27" s="10" t="s">
        <v>234</v>
      </c>
      <c r="M27" s="10" t="s">
        <v>86</v>
      </c>
      <c r="N27" s="9"/>
      <c r="O27" s="10">
        <v>2</v>
      </c>
      <c r="P27" s="10">
        <v>1</v>
      </c>
      <c r="Q27" s="10" t="s">
        <v>87</v>
      </c>
      <c r="R27" s="13" t="s">
        <v>235</v>
      </c>
      <c r="S27" s="13" t="s">
        <v>236</v>
      </c>
      <c r="T27" s="9"/>
      <c r="U27" s="13" t="s">
        <v>237</v>
      </c>
      <c r="V27" s="9"/>
      <c r="W27" s="9"/>
    </row>
    <row r="28" ht="42" customHeight="1" spans="1:23" s="9" customFormat="1" x14ac:dyDescent="0.25">
      <c r="A28" s="10" t="s">
        <v>238</v>
      </c>
      <c r="B28" s="10" t="s">
        <v>127</v>
      </c>
      <c r="C28" s="11">
        <v>46218</v>
      </c>
      <c r="D28" s="10" t="s">
        <v>239</v>
      </c>
      <c r="E28" s="12">
        <v>6750</v>
      </c>
      <c r="F28" s="11">
        <v>46218</v>
      </c>
      <c r="G28" s="10" t="s">
        <v>239</v>
      </c>
      <c r="H28" s="12">
        <v>6750</v>
      </c>
      <c r="I28" s="10" t="s">
        <v>129</v>
      </c>
      <c r="J28" s="10">
        <v>0</v>
      </c>
      <c r="K28" s="10" t="s">
        <v>130</v>
      </c>
      <c r="L28" s="10" t="s">
        <v>240</v>
      </c>
      <c r="M28" s="10" t="s">
        <v>86</v>
      </c>
      <c r="N28" s="9"/>
      <c r="O28" s="10">
        <v>1</v>
      </c>
      <c r="P28" s="10">
        <v>3</v>
      </c>
      <c r="Q28" s="10" t="s">
        <v>87</v>
      </c>
      <c r="R28" s="13" t="s">
        <v>241</v>
      </c>
      <c r="S28" s="9"/>
      <c r="T28" s="9"/>
      <c r="U28" s="13" t="s">
        <v>242</v>
      </c>
      <c r="V28" s="13" t="s">
        <v>243</v>
      </c>
      <c r="W28" s="13" t="s">
        <v>244</v>
      </c>
    </row>
    <row r="29" ht="42" customHeight="1" spans="1:23" s="9" customFormat="1" x14ac:dyDescent="0.25">
      <c r="A29" s="10" t="s">
        <v>245</v>
      </c>
      <c r="B29" s="10" t="s">
        <v>137</v>
      </c>
      <c r="C29" s="11">
        <v>46218</v>
      </c>
      <c r="D29" s="10" t="s">
        <v>246</v>
      </c>
      <c r="E29" s="12">
        <v>6750</v>
      </c>
      <c r="F29" s="11">
        <v>46218</v>
      </c>
      <c r="G29" s="10" t="s">
        <v>246</v>
      </c>
      <c r="H29" s="12">
        <v>6750</v>
      </c>
      <c r="I29" s="10" t="s">
        <v>139</v>
      </c>
      <c r="J29" s="10">
        <v>0</v>
      </c>
      <c r="K29" s="10" t="s">
        <v>130</v>
      </c>
      <c r="L29" s="10" t="s">
        <v>247</v>
      </c>
      <c r="M29" s="10" t="s">
        <v>86</v>
      </c>
      <c r="N29" s="9"/>
      <c r="O29" s="10">
        <v>3</v>
      </c>
      <c r="P29" s="10">
        <v>1</v>
      </c>
      <c r="Q29" s="10" t="s">
        <v>87</v>
      </c>
      <c r="R29" s="13" t="s">
        <v>248</v>
      </c>
      <c r="S29" s="13" t="s">
        <v>249</v>
      </c>
      <c r="T29" s="13" t="s">
        <v>250</v>
      </c>
      <c r="U29" s="13" t="s">
        <v>251</v>
      </c>
      <c r="V29" s="9"/>
      <c r="W29" s="9"/>
    </row>
    <row r="30" ht="42" customHeight="1" spans="1:23" s="9" customFormat="1" x14ac:dyDescent="0.25">
      <c r="A30" s="10" t="s">
        <v>252</v>
      </c>
      <c r="B30" s="10" t="s">
        <v>127</v>
      </c>
      <c r="C30" s="11">
        <v>46218</v>
      </c>
      <c r="D30" s="10" t="s">
        <v>253</v>
      </c>
      <c r="E30" s="12">
        <v>-300</v>
      </c>
      <c r="F30" s="11">
        <v>46218</v>
      </c>
      <c r="G30" s="10" t="s">
        <v>253</v>
      </c>
      <c r="H30" s="12">
        <v>-300</v>
      </c>
      <c r="I30" s="10" t="s">
        <v>147</v>
      </c>
      <c r="J30" s="10">
        <v>0</v>
      </c>
      <c r="K30" s="10" t="s">
        <v>148</v>
      </c>
      <c r="L30" s="10" t="s">
        <v>254</v>
      </c>
      <c r="M30" s="10" t="s">
        <v>86</v>
      </c>
      <c r="N30" s="9"/>
      <c r="O30" s="10">
        <v>1</v>
      </c>
      <c r="P30" s="10">
        <v>2</v>
      </c>
      <c r="Q30" s="10" t="s">
        <v>87</v>
      </c>
      <c r="R30" s="13" t="s">
        <v>255</v>
      </c>
      <c r="S30" s="9"/>
      <c r="T30" s="9"/>
      <c r="U30" s="13" t="s">
        <v>256</v>
      </c>
      <c r="V30" s="13" t="s">
        <v>257</v>
      </c>
      <c r="W30" s="9"/>
    </row>
    <row r="31" ht="42" customHeight="1" spans="1:23" s="9" customFormat="1" x14ac:dyDescent="0.25">
      <c r="A31" s="10" t="s">
        <v>258</v>
      </c>
      <c r="B31" s="10" t="s">
        <v>137</v>
      </c>
      <c r="C31" s="11">
        <v>46218</v>
      </c>
      <c r="D31" s="10" t="s">
        <v>259</v>
      </c>
      <c r="E31" s="12">
        <v>-300</v>
      </c>
      <c r="F31" s="11">
        <v>46218</v>
      </c>
      <c r="G31" s="10" t="s">
        <v>259</v>
      </c>
      <c r="H31" s="12">
        <v>-300</v>
      </c>
      <c r="I31" s="10" t="s">
        <v>155</v>
      </c>
      <c r="J31" s="10">
        <v>0</v>
      </c>
      <c r="K31" s="10" t="s">
        <v>148</v>
      </c>
      <c r="L31" s="10" t="s">
        <v>260</v>
      </c>
      <c r="M31" s="10" t="s">
        <v>86</v>
      </c>
      <c r="N31" s="9"/>
      <c r="O31" s="10">
        <v>2</v>
      </c>
      <c r="P31" s="10">
        <v>1</v>
      </c>
      <c r="Q31" s="10" t="s">
        <v>87</v>
      </c>
      <c r="R31" s="13" t="s">
        <v>261</v>
      </c>
      <c r="S31" s="13" t="s">
        <v>262</v>
      </c>
      <c r="T31" s="9"/>
      <c r="U31" s="13" t="s">
        <v>263</v>
      </c>
      <c r="V31" s="9"/>
      <c r="W31" s="9"/>
    </row>
    <row r="32" ht="42" customHeight="1" spans="1:23" s="9" customFormat="1" x14ac:dyDescent="0.25">
      <c r="A32" s="10" t="s">
        <v>264</v>
      </c>
      <c r="B32" s="10" t="s">
        <v>127</v>
      </c>
      <c r="C32" s="11">
        <v>46218</v>
      </c>
      <c r="D32" s="10" t="s">
        <v>265</v>
      </c>
      <c r="E32" s="12">
        <v>6750</v>
      </c>
      <c r="F32" s="11">
        <v>46218</v>
      </c>
      <c r="G32" s="10" t="s">
        <v>265</v>
      </c>
      <c r="H32" s="12">
        <v>6750</v>
      </c>
      <c r="I32" s="10" t="s">
        <v>129</v>
      </c>
      <c r="J32" s="10">
        <v>0</v>
      </c>
      <c r="K32" s="10" t="s">
        <v>130</v>
      </c>
      <c r="L32" s="10" t="s">
        <v>266</v>
      </c>
      <c r="M32" s="10" t="s">
        <v>86</v>
      </c>
      <c r="N32" s="9"/>
      <c r="O32" s="10">
        <v>1</v>
      </c>
      <c r="P32" s="10">
        <v>3</v>
      </c>
      <c r="Q32" s="10" t="s">
        <v>87</v>
      </c>
      <c r="R32" s="13" t="s">
        <v>267</v>
      </c>
      <c r="S32" s="9"/>
      <c r="T32" s="9"/>
      <c r="U32" s="13" t="s">
        <v>268</v>
      </c>
      <c r="V32" s="13" t="s">
        <v>269</v>
      </c>
      <c r="W32" s="13" t="s">
        <v>270</v>
      </c>
    </row>
    <row r="33" ht="42" customHeight="1" spans="1:23" s="9" customFormat="1" x14ac:dyDescent="0.25">
      <c r="A33" s="10" t="s">
        <v>271</v>
      </c>
      <c r="B33" s="10" t="s">
        <v>137</v>
      </c>
      <c r="C33" s="11">
        <v>46218</v>
      </c>
      <c r="D33" s="10" t="s">
        <v>272</v>
      </c>
      <c r="E33" s="12">
        <v>6750</v>
      </c>
      <c r="F33" s="11">
        <v>46218</v>
      </c>
      <c r="G33" s="10" t="s">
        <v>272</v>
      </c>
      <c r="H33" s="12">
        <v>6750</v>
      </c>
      <c r="I33" s="10" t="s">
        <v>139</v>
      </c>
      <c r="J33" s="10">
        <v>0</v>
      </c>
      <c r="K33" s="10" t="s">
        <v>130</v>
      </c>
      <c r="L33" s="10" t="s">
        <v>273</v>
      </c>
      <c r="M33" s="10" t="s">
        <v>86</v>
      </c>
      <c r="N33" s="9"/>
      <c r="O33" s="10">
        <v>3</v>
      </c>
      <c r="P33" s="10">
        <v>1</v>
      </c>
      <c r="Q33" s="10" t="s">
        <v>87</v>
      </c>
      <c r="R33" s="13" t="s">
        <v>274</v>
      </c>
      <c r="S33" s="13" t="s">
        <v>275</v>
      </c>
      <c r="T33" s="13" t="s">
        <v>276</v>
      </c>
      <c r="U33" s="13" t="s">
        <v>277</v>
      </c>
      <c r="V33" s="9"/>
      <c r="W33" s="9"/>
    </row>
    <row r="34" ht="42" customHeight="1" spans="1:23" s="9" customFormat="1" x14ac:dyDescent="0.25">
      <c r="A34" s="10" t="s">
        <v>278</v>
      </c>
      <c r="B34" s="10" t="s">
        <v>127</v>
      </c>
      <c r="C34" s="11">
        <v>46218</v>
      </c>
      <c r="D34" s="10" t="s">
        <v>279</v>
      </c>
      <c r="E34" s="12">
        <v>-300</v>
      </c>
      <c r="F34" s="11">
        <v>46218</v>
      </c>
      <c r="G34" s="10" t="s">
        <v>279</v>
      </c>
      <c r="H34" s="12">
        <v>-300</v>
      </c>
      <c r="I34" s="10" t="s">
        <v>147</v>
      </c>
      <c r="J34" s="10">
        <v>0</v>
      </c>
      <c r="K34" s="10" t="s">
        <v>148</v>
      </c>
      <c r="L34" s="10" t="s">
        <v>280</v>
      </c>
      <c r="M34" s="10" t="s">
        <v>86</v>
      </c>
      <c r="N34" s="9"/>
      <c r="O34" s="10">
        <v>1</v>
      </c>
      <c r="P34" s="10">
        <v>2</v>
      </c>
      <c r="Q34" s="10" t="s">
        <v>87</v>
      </c>
      <c r="R34" s="13" t="s">
        <v>281</v>
      </c>
      <c r="S34" s="9"/>
      <c r="T34" s="9"/>
      <c r="U34" s="13" t="s">
        <v>282</v>
      </c>
      <c r="V34" s="13" t="s">
        <v>283</v>
      </c>
      <c r="W34" s="9"/>
    </row>
    <row r="35" ht="42" customHeight="1" spans="1:23" s="9" customFormat="1" x14ac:dyDescent="0.25">
      <c r="A35" s="10" t="s">
        <v>284</v>
      </c>
      <c r="B35" s="10" t="s">
        <v>137</v>
      </c>
      <c r="C35" s="11">
        <v>46218</v>
      </c>
      <c r="D35" s="10" t="s">
        <v>285</v>
      </c>
      <c r="E35" s="12">
        <v>-300</v>
      </c>
      <c r="F35" s="11">
        <v>46218</v>
      </c>
      <c r="G35" s="10" t="s">
        <v>285</v>
      </c>
      <c r="H35" s="12">
        <v>-300</v>
      </c>
      <c r="I35" s="10" t="s">
        <v>155</v>
      </c>
      <c r="J35" s="10">
        <v>0</v>
      </c>
      <c r="K35" s="10" t="s">
        <v>148</v>
      </c>
      <c r="L35" s="10" t="s">
        <v>286</v>
      </c>
      <c r="M35" s="10" t="s">
        <v>86</v>
      </c>
      <c r="N35" s="9"/>
      <c r="O35" s="10">
        <v>2</v>
      </c>
      <c r="P35" s="10">
        <v>1</v>
      </c>
      <c r="Q35" s="10" t="s">
        <v>87</v>
      </c>
      <c r="R35" s="13" t="s">
        <v>287</v>
      </c>
      <c r="S35" s="13" t="s">
        <v>288</v>
      </c>
      <c r="T35" s="9"/>
      <c r="U35" s="13" t="s">
        <v>289</v>
      </c>
      <c r="V35" s="9"/>
      <c r="W35" s="9"/>
    </row>
    <row r="36" ht="42" customHeight="1" spans="1:23" s="9" customFormat="1" x14ac:dyDescent="0.25">
      <c r="A36" s="10" t="s">
        <v>290</v>
      </c>
      <c r="B36" s="10" t="s">
        <v>127</v>
      </c>
      <c r="C36" s="11">
        <v>46218</v>
      </c>
      <c r="D36" s="10" t="s">
        <v>291</v>
      </c>
      <c r="E36" s="12">
        <v>6750</v>
      </c>
      <c r="F36" s="11">
        <v>46218</v>
      </c>
      <c r="G36" s="10" t="s">
        <v>291</v>
      </c>
      <c r="H36" s="12">
        <v>6750</v>
      </c>
      <c r="I36" s="10" t="s">
        <v>129</v>
      </c>
      <c r="J36" s="10">
        <v>0</v>
      </c>
      <c r="K36" s="10" t="s">
        <v>130</v>
      </c>
      <c r="L36" s="10" t="s">
        <v>292</v>
      </c>
      <c r="M36" s="10" t="s">
        <v>86</v>
      </c>
      <c r="N36" s="9"/>
      <c r="O36" s="10">
        <v>1</v>
      </c>
      <c r="P36" s="10">
        <v>3</v>
      </c>
      <c r="Q36" s="10" t="s">
        <v>87</v>
      </c>
      <c r="R36" s="13" t="s">
        <v>293</v>
      </c>
      <c r="S36" s="9"/>
      <c r="T36" s="9"/>
      <c r="U36" s="13" t="s">
        <v>294</v>
      </c>
      <c r="V36" s="13" t="s">
        <v>295</v>
      </c>
      <c r="W36" s="13" t="s">
        <v>296</v>
      </c>
    </row>
    <row r="37" ht="42" customHeight="1" spans="1:23" s="9" customFormat="1" x14ac:dyDescent="0.25">
      <c r="A37" s="10" t="s">
        <v>297</v>
      </c>
      <c r="B37" s="10" t="s">
        <v>137</v>
      </c>
      <c r="C37" s="11">
        <v>46218</v>
      </c>
      <c r="D37" s="10" t="s">
        <v>298</v>
      </c>
      <c r="E37" s="12">
        <v>6750</v>
      </c>
      <c r="F37" s="11">
        <v>46218</v>
      </c>
      <c r="G37" s="10" t="s">
        <v>298</v>
      </c>
      <c r="H37" s="12">
        <v>6750</v>
      </c>
      <c r="I37" s="10" t="s">
        <v>139</v>
      </c>
      <c r="J37" s="10">
        <v>0</v>
      </c>
      <c r="K37" s="10" t="s">
        <v>130</v>
      </c>
      <c r="L37" s="10" t="s">
        <v>299</v>
      </c>
      <c r="M37" s="10" t="s">
        <v>86</v>
      </c>
      <c r="N37" s="9"/>
      <c r="O37" s="10">
        <v>3</v>
      </c>
      <c r="P37" s="10">
        <v>1</v>
      </c>
      <c r="Q37" s="10" t="s">
        <v>87</v>
      </c>
      <c r="R37" s="13" t="s">
        <v>300</v>
      </c>
      <c r="S37" s="13" t="s">
        <v>301</v>
      </c>
      <c r="T37" s="13" t="s">
        <v>302</v>
      </c>
      <c r="U37" s="13" t="s">
        <v>303</v>
      </c>
      <c r="V37" s="9"/>
      <c r="W37" s="9"/>
    </row>
    <row r="38" ht="42" customHeight="1" spans="1:23" s="9" customFormat="1" x14ac:dyDescent="0.25">
      <c r="A38" s="10" t="s">
        <v>304</v>
      </c>
      <c r="B38" s="10" t="s">
        <v>127</v>
      </c>
      <c r="C38" s="11">
        <v>46218</v>
      </c>
      <c r="D38" s="10" t="s">
        <v>305</v>
      </c>
      <c r="E38" s="12">
        <v>-300</v>
      </c>
      <c r="F38" s="11">
        <v>46218</v>
      </c>
      <c r="G38" s="10" t="s">
        <v>305</v>
      </c>
      <c r="H38" s="12">
        <v>-300</v>
      </c>
      <c r="I38" s="10" t="s">
        <v>147</v>
      </c>
      <c r="J38" s="10">
        <v>0</v>
      </c>
      <c r="K38" s="10" t="s">
        <v>148</v>
      </c>
      <c r="L38" s="10" t="s">
        <v>306</v>
      </c>
      <c r="M38" s="10" t="s">
        <v>86</v>
      </c>
      <c r="N38" s="9"/>
      <c r="O38" s="10">
        <v>1</v>
      </c>
      <c r="P38" s="10">
        <v>2</v>
      </c>
      <c r="Q38" s="10" t="s">
        <v>87</v>
      </c>
      <c r="R38" s="13" t="s">
        <v>307</v>
      </c>
      <c r="S38" s="9"/>
      <c r="T38" s="9"/>
      <c r="U38" s="13" t="s">
        <v>308</v>
      </c>
      <c r="V38" s="13" t="s">
        <v>309</v>
      </c>
      <c r="W38" s="9"/>
    </row>
    <row r="39" ht="42" customHeight="1" spans="1:23" s="9" customFormat="1" x14ac:dyDescent="0.25">
      <c r="A39" s="10" t="s">
        <v>310</v>
      </c>
      <c r="B39" s="10" t="s">
        <v>137</v>
      </c>
      <c r="C39" s="11">
        <v>46218</v>
      </c>
      <c r="D39" s="10" t="s">
        <v>311</v>
      </c>
      <c r="E39" s="12">
        <v>-300</v>
      </c>
      <c r="F39" s="11">
        <v>46218</v>
      </c>
      <c r="G39" s="10" t="s">
        <v>311</v>
      </c>
      <c r="H39" s="12">
        <v>-300</v>
      </c>
      <c r="I39" s="10" t="s">
        <v>155</v>
      </c>
      <c r="J39" s="10">
        <v>0</v>
      </c>
      <c r="K39" s="10" t="s">
        <v>148</v>
      </c>
      <c r="L39" s="10" t="s">
        <v>312</v>
      </c>
      <c r="M39" s="10" t="s">
        <v>86</v>
      </c>
      <c r="N39" s="9"/>
      <c r="O39" s="10">
        <v>2</v>
      </c>
      <c r="P39" s="10">
        <v>1</v>
      </c>
      <c r="Q39" s="10" t="s">
        <v>87</v>
      </c>
      <c r="R39" s="13" t="s">
        <v>313</v>
      </c>
      <c r="S39" s="13" t="s">
        <v>314</v>
      </c>
      <c r="T39" s="9"/>
      <c r="U39" s="13" t="s">
        <v>315</v>
      </c>
      <c r="V39" s="9"/>
      <c r="W39" s="9"/>
    </row>
    <row r="40" ht="42" customHeight="1" spans="1:23" s="9" customFormat="1" x14ac:dyDescent="0.25">
      <c r="A40" s="10" t="s">
        <v>316</v>
      </c>
      <c r="B40" s="10" t="s">
        <v>127</v>
      </c>
      <c r="C40" s="11">
        <v>46218</v>
      </c>
      <c r="D40" s="10" t="s">
        <v>317</v>
      </c>
      <c r="E40" s="12">
        <v>6750</v>
      </c>
      <c r="F40" s="11">
        <v>46218</v>
      </c>
      <c r="G40" s="10" t="s">
        <v>317</v>
      </c>
      <c r="H40" s="12">
        <v>6750</v>
      </c>
      <c r="I40" s="10" t="s">
        <v>129</v>
      </c>
      <c r="J40" s="10">
        <v>0</v>
      </c>
      <c r="K40" s="10" t="s">
        <v>130</v>
      </c>
      <c r="L40" s="10" t="s">
        <v>318</v>
      </c>
      <c r="M40" s="10" t="s">
        <v>86</v>
      </c>
      <c r="N40" s="9"/>
      <c r="O40" s="10">
        <v>1</v>
      </c>
      <c r="P40" s="10">
        <v>3</v>
      </c>
      <c r="Q40" s="10" t="s">
        <v>87</v>
      </c>
      <c r="R40" s="13" t="s">
        <v>319</v>
      </c>
      <c r="S40" s="9"/>
      <c r="T40" s="9"/>
      <c r="U40" s="13" t="s">
        <v>320</v>
      </c>
      <c r="V40" s="13" t="s">
        <v>321</v>
      </c>
      <c r="W40" s="13" t="s">
        <v>322</v>
      </c>
    </row>
    <row r="41" ht="42" customHeight="1" spans="1:23" s="9" customFormat="1" x14ac:dyDescent="0.25">
      <c r="A41" s="10" t="s">
        <v>323</v>
      </c>
      <c r="B41" s="10" t="s">
        <v>137</v>
      </c>
      <c r="C41" s="11">
        <v>46218</v>
      </c>
      <c r="D41" s="10" t="s">
        <v>324</v>
      </c>
      <c r="E41" s="12">
        <v>6750</v>
      </c>
      <c r="F41" s="11">
        <v>46218</v>
      </c>
      <c r="G41" s="10" t="s">
        <v>324</v>
      </c>
      <c r="H41" s="12">
        <v>6750</v>
      </c>
      <c r="I41" s="10" t="s">
        <v>139</v>
      </c>
      <c r="J41" s="10">
        <v>0</v>
      </c>
      <c r="K41" s="10" t="s">
        <v>130</v>
      </c>
      <c r="L41" s="10" t="s">
        <v>325</v>
      </c>
      <c r="M41" s="10" t="s">
        <v>86</v>
      </c>
      <c r="N41" s="9"/>
      <c r="O41" s="10">
        <v>3</v>
      </c>
      <c r="P41" s="10">
        <v>1</v>
      </c>
      <c r="Q41" s="10" t="s">
        <v>87</v>
      </c>
      <c r="R41" s="13" t="s">
        <v>326</v>
      </c>
      <c r="S41" s="13" t="s">
        <v>327</v>
      </c>
      <c r="T41" s="13" t="s">
        <v>328</v>
      </c>
      <c r="U41" s="13" t="s">
        <v>329</v>
      </c>
      <c r="V41" s="9"/>
      <c r="W41" s="9"/>
    </row>
    <row r="42" ht="42" customHeight="1" spans="1:23" s="9" customFormat="1" x14ac:dyDescent="0.25">
      <c r="A42" s="10" t="s">
        <v>330</v>
      </c>
      <c r="B42" s="10" t="s">
        <v>127</v>
      </c>
      <c r="C42" s="11">
        <v>46218</v>
      </c>
      <c r="D42" s="10" t="s">
        <v>331</v>
      </c>
      <c r="E42" s="12">
        <v>-300</v>
      </c>
      <c r="F42" s="11">
        <v>46218</v>
      </c>
      <c r="G42" s="10" t="s">
        <v>331</v>
      </c>
      <c r="H42" s="12">
        <v>-300</v>
      </c>
      <c r="I42" s="10" t="s">
        <v>147</v>
      </c>
      <c r="J42" s="10">
        <v>0</v>
      </c>
      <c r="K42" s="10" t="s">
        <v>148</v>
      </c>
      <c r="L42" s="10" t="s">
        <v>332</v>
      </c>
      <c r="M42" s="10" t="s">
        <v>86</v>
      </c>
      <c r="N42" s="9"/>
      <c r="O42" s="10">
        <v>1</v>
      </c>
      <c r="P42" s="10">
        <v>2</v>
      </c>
      <c r="Q42" s="10" t="s">
        <v>87</v>
      </c>
      <c r="R42" s="13" t="s">
        <v>333</v>
      </c>
      <c r="S42" s="9"/>
      <c r="T42" s="9"/>
      <c r="U42" s="13" t="s">
        <v>334</v>
      </c>
      <c r="V42" s="13" t="s">
        <v>335</v>
      </c>
      <c r="W42" s="9"/>
    </row>
    <row r="43" ht="42" customHeight="1" spans="1:23" s="9" customFormat="1" x14ac:dyDescent="0.25">
      <c r="A43" s="10" t="s">
        <v>336</v>
      </c>
      <c r="B43" s="10" t="s">
        <v>137</v>
      </c>
      <c r="C43" s="11">
        <v>46218</v>
      </c>
      <c r="D43" s="10" t="s">
        <v>337</v>
      </c>
      <c r="E43" s="12">
        <v>-300</v>
      </c>
      <c r="F43" s="11">
        <v>46218</v>
      </c>
      <c r="G43" s="10" t="s">
        <v>337</v>
      </c>
      <c r="H43" s="12">
        <v>-300</v>
      </c>
      <c r="I43" s="10" t="s">
        <v>155</v>
      </c>
      <c r="J43" s="10">
        <v>0</v>
      </c>
      <c r="K43" s="10" t="s">
        <v>148</v>
      </c>
      <c r="L43" s="10" t="s">
        <v>338</v>
      </c>
      <c r="M43" s="10" t="s">
        <v>86</v>
      </c>
      <c r="N43" s="9"/>
      <c r="O43" s="10">
        <v>2</v>
      </c>
      <c r="P43" s="10">
        <v>1</v>
      </c>
      <c r="Q43" s="10" t="s">
        <v>87</v>
      </c>
      <c r="R43" s="13" t="s">
        <v>339</v>
      </c>
      <c r="S43" s="13" t="s">
        <v>340</v>
      </c>
      <c r="T43" s="9"/>
      <c r="U43" s="13" t="s">
        <v>341</v>
      </c>
      <c r="V43" s="9"/>
      <c r="W43" s="9"/>
    </row>
    <row r="44" ht="42" customHeight="1" spans="1:23" s="9" customFormat="1" x14ac:dyDescent="0.25">
      <c r="A44" s="10" t="s">
        <v>342</v>
      </c>
      <c r="B44" s="10" t="s">
        <v>127</v>
      </c>
      <c r="C44" s="11">
        <v>46218</v>
      </c>
      <c r="D44" s="10" t="s">
        <v>343</v>
      </c>
      <c r="E44" s="12">
        <v>6750</v>
      </c>
      <c r="F44" s="11">
        <v>46218</v>
      </c>
      <c r="G44" s="10" t="s">
        <v>343</v>
      </c>
      <c r="H44" s="12">
        <v>6750</v>
      </c>
      <c r="I44" s="10" t="s">
        <v>129</v>
      </c>
      <c r="J44" s="10">
        <v>0</v>
      </c>
      <c r="K44" s="10" t="s">
        <v>130</v>
      </c>
      <c r="L44" s="10" t="s">
        <v>344</v>
      </c>
      <c r="M44" s="10" t="s">
        <v>86</v>
      </c>
      <c r="N44" s="9"/>
      <c r="O44" s="10">
        <v>1</v>
      </c>
      <c r="P44" s="10">
        <v>3</v>
      </c>
      <c r="Q44" s="10" t="s">
        <v>87</v>
      </c>
      <c r="R44" s="13" t="s">
        <v>345</v>
      </c>
      <c r="S44" s="9"/>
      <c r="T44" s="9"/>
      <c r="U44" s="13" t="s">
        <v>346</v>
      </c>
      <c r="V44" s="13" t="s">
        <v>347</v>
      </c>
      <c r="W44" s="13" t="s">
        <v>348</v>
      </c>
    </row>
    <row r="45" ht="42" customHeight="1" spans="1:23" s="9" customFormat="1" x14ac:dyDescent="0.25">
      <c r="A45" s="10" t="s">
        <v>349</v>
      </c>
      <c r="B45" s="10" t="s">
        <v>137</v>
      </c>
      <c r="C45" s="11">
        <v>46218</v>
      </c>
      <c r="D45" s="10" t="s">
        <v>350</v>
      </c>
      <c r="E45" s="12">
        <v>6750</v>
      </c>
      <c r="F45" s="11">
        <v>46218</v>
      </c>
      <c r="G45" s="10" t="s">
        <v>350</v>
      </c>
      <c r="H45" s="12">
        <v>6750</v>
      </c>
      <c r="I45" s="10" t="s">
        <v>139</v>
      </c>
      <c r="J45" s="10">
        <v>0</v>
      </c>
      <c r="K45" s="10" t="s">
        <v>130</v>
      </c>
      <c r="L45" s="10" t="s">
        <v>351</v>
      </c>
      <c r="M45" s="10" t="s">
        <v>86</v>
      </c>
      <c r="N45" s="9"/>
      <c r="O45" s="10">
        <v>3</v>
      </c>
      <c r="P45" s="10">
        <v>1</v>
      </c>
      <c r="Q45" s="10" t="s">
        <v>87</v>
      </c>
      <c r="R45" s="13" t="s">
        <v>352</v>
      </c>
      <c r="S45" s="13" t="s">
        <v>353</v>
      </c>
      <c r="T45" s="13" t="s">
        <v>354</v>
      </c>
      <c r="U45" s="13" t="s">
        <v>355</v>
      </c>
      <c r="V45" s="9"/>
      <c r="W45" s="9"/>
    </row>
    <row r="46" ht="42" customHeight="1" spans="1:23" s="9" customFormat="1" x14ac:dyDescent="0.25">
      <c r="A46" s="10" t="s">
        <v>356</v>
      </c>
      <c r="B46" s="10" t="s">
        <v>127</v>
      </c>
      <c r="C46" s="11">
        <v>46218</v>
      </c>
      <c r="D46" s="10" t="s">
        <v>357</v>
      </c>
      <c r="E46" s="12">
        <v>-300</v>
      </c>
      <c r="F46" s="11">
        <v>46218</v>
      </c>
      <c r="G46" s="10" t="s">
        <v>357</v>
      </c>
      <c r="H46" s="12">
        <v>-300</v>
      </c>
      <c r="I46" s="10" t="s">
        <v>147</v>
      </c>
      <c r="J46" s="10">
        <v>0</v>
      </c>
      <c r="K46" s="10" t="s">
        <v>148</v>
      </c>
      <c r="L46" s="10" t="s">
        <v>358</v>
      </c>
      <c r="M46" s="10" t="s">
        <v>86</v>
      </c>
      <c r="N46" s="9"/>
      <c r="O46" s="10">
        <v>1</v>
      </c>
      <c r="P46" s="10">
        <v>2</v>
      </c>
      <c r="Q46" s="10" t="s">
        <v>87</v>
      </c>
      <c r="R46" s="13" t="s">
        <v>359</v>
      </c>
      <c r="S46" s="9"/>
      <c r="T46" s="9"/>
      <c r="U46" s="13" t="s">
        <v>360</v>
      </c>
      <c r="V46" s="13" t="s">
        <v>361</v>
      </c>
      <c r="W46" s="9"/>
    </row>
    <row r="47" ht="42" customHeight="1" spans="1:23" s="9" customFormat="1" x14ac:dyDescent="0.25">
      <c r="A47" s="10" t="s">
        <v>362</v>
      </c>
      <c r="B47" s="10" t="s">
        <v>137</v>
      </c>
      <c r="C47" s="11">
        <v>46218</v>
      </c>
      <c r="D47" s="10" t="s">
        <v>363</v>
      </c>
      <c r="E47" s="12">
        <v>-300</v>
      </c>
      <c r="F47" s="11">
        <v>46218</v>
      </c>
      <c r="G47" s="10" t="s">
        <v>363</v>
      </c>
      <c r="H47" s="12">
        <v>-300</v>
      </c>
      <c r="I47" s="10" t="s">
        <v>155</v>
      </c>
      <c r="J47" s="10">
        <v>0</v>
      </c>
      <c r="K47" s="10" t="s">
        <v>148</v>
      </c>
      <c r="L47" s="10" t="s">
        <v>364</v>
      </c>
      <c r="M47" s="10" t="s">
        <v>86</v>
      </c>
      <c r="N47" s="9"/>
      <c r="O47" s="10">
        <v>2</v>
      </c>
      <c r="P47" s="10">
        <v>1</v>
      </c>
      <c r="Q47" s="10" t="s">
        <v>87</v>
      </c>
      <c r="R47" s="13" t="s">
        <v>365</v>
      </c>
      <c r="S47" s="13" t="s">
        <v>366</v>
      </c>
      <c r="T47" s="9"/>
      <c r="U47" s="13" t="s">
        <v>367</v>
      </c>
      <c r="V47" s="9"/>
      <c r="W47" s="9"/>
    </row>
    <row r="48" ht="42" customHeight="1" spans="1:23" s="9" customFormat="1" x14ac:dyDescent="0.25">
      <c r="A48" s="10" t="s">
        <v>368</v>
      </c>
      <c r="B48" s="10" t="s">
        <v>127</v>
      </c>
      <c r="C48" s="11">
        <v>46218</v>
      </c>
      <c r="D48" s="10" t="s">
        <v>369</v>
      </c>
      <c r="E48" s="12">
        <v>6750</v>
      </c>
      <c r="F48" s="11">
        <v>46218</v>
      </c>
      <c r="G48" s="10" t="s">
        <v>369</v>
      </c>
      <c r="H48" s="12">
        <v>6750</v>
      </c>
      <c r="I48" s="10" t="s">
        <v>129</v>
      </c>
      <c r="J48" s="10">
        <v>0</v>
      </c>
      <c r="K48" s="10" t="s">
        <v>130</v>
      </c>
      <c r="L48" s="10" t="s">
        <v>370</v>
      </c>
      <c r="M48" s="10" t="s">
        <v>86</v>
      </c>
      <c r="N48" s="9"/>
      <c r="O48" s="10">
        <v>1</v>
      </c>
      <c r="P48" s="10">
        <v>3</v>
      </c>
      <c r="Q48" s="10" t="s">
        <v>87</v>
      </c>
      <c r="R48" s="13" t="s">
        <v>371</v>
      </c>
      <c r="S48" s="9"/>
      <c r="T48" s="9"/>
      <c r="U48" s="13" t="s">
        <v>372</v>
      </c>
      <c r="V48" s="13" t="s">
        <v>373</v>
      </c>
      <c r="W48" s="13" t="s">
        <v>374</v>
      </c>
    </row>
    <row r="49" ht="42" customHeight="1" spans="1:23" s="9" customFormat="1" x14ac:dyDescent="0.25">
      <c r="A49" s="10" t="s">
        <v>375</v>
      </c>
      <c r="B49" s="10" t="s">
        <v>137</v>
      </c>
      <c r="C49" s="11">
        <v>46218</v>
      </c>
      <c r="D49" s="10" t="s">
        <v>376</v>
      </c>
      <c r="E49" s="12">
        <v>6750</v>
      </c>
      <c r="F49" s="11">
        <v>46218</v>
      </c>
      <c r="G49" s="10" t="s">
        <v>376</v>
      </c>
      <c r="H49" s="12">
        <v>6750</v>
      </c>
      <c r="I49" s="10" t="s">
        <v>139</v>
      </c>
      <c r="J49" s="10">
        <v>0</v>
      </c>
      <c r="K49" s="10" t="s">
        <v>130</v>
      </c>
      <c r="L49" s="10" t="s">
        <v>377</v>
      </c>
      <c r="M49" s="10" t="s">
        <v>86</v>
      </c>
      <c r="N49" s="9"/>
      <c r="O49" s="10">
        <v>3</v>
      </c>
      <c r="P49" s="10">
        <v>1</v>
      </c>
      <c r="Q49" s="10" t="s">
        <v>87</v>
      </c>
      <c r="R49" s="13" t="s">
        <v>378</v>
      </c>
      <c r="S49" s="13" t="s">
        <v>379</v>
      </c>
      <c r="T49" s="13" t="s">
        <v>380</v>
      </c>
      <c r="U49" s="13" t="s">
        <v>381</v>
      </c>
      <c r="V49" s="9"/>
      <c r="W49" s="9"/>
    </row>
    <row r="50" ht="42" customHeight="1" spans="1:23" s="9" customFormat="1" x14ac:dyDescent="0.25">
      <c r="A50" s="10" t="s">
        <v>382</v>
      </c>
      <c r="B50" s="10" t="s">
        <v>127</v>
      </c>
      <c r="C50" s="11">
        <v>46218</v>
      </c>
      <c r="D50" s="10" t="s">
        <v>383</v>
      </c>
      <c r="E50" s="12">
        <v>-300</v>
      </c>
      <c r="F50" s="11">
        <v>46218</v>
      </c>
      <c r="G50" s="10" t="s">
        <v>383</v>
      </c>
      <c r="H50" s="12">
        <v>-300</v>
      </c>
      <c r="I50" s="10" t="s">
        <v>147</v>
      </c>
      <c r="J50" s="10">
        <v>0</v>
      </c>
      <c r="K50" s="10" t="s">
        <v>148</v>
      </c>
      <c r="L50" s="10" t="s">
        <v>384</v>
      </c>
      <c r="M50" s="10" t="s">
        <v>86</v>
      </c>
      <c r="N50" s="9"/>
      <c r="O50" s="10">
        <v>1</v>
      </c>
      <c r="P50" s="10">
        <v>2</v>
      </c>
      <c r="Q50" s="10" t="s">
        <v>87</v>
      </c>
      <c r="R50" s="13" t="s">
        <v>385</v>
      </c>
      <c r="S50" s="9"/>
      <c r="T50" s="9"/>
      <c r="U50" s="13" t="s">
        <v>386</v>
      </c>
      <c r="V50" s="13" t="s">
        <v>387</v>
      </c>
      <c r="W50" s="9"/>
    </row>
    <row r="51" ht="42" customHeight="1" spans="1:23" s="9" customFormat="1" x14ac:dyDescent="0.25">
      <c r="A51" s="10" t="s">
        <v>388</v>
      </c>
      <c r="B51" s="10" t="s">
        <v>137</v>
      </c>
      <c r="C51" s="11">
        <v>46218</v>
      </c>
      <c r="D51" s="10" t="s">
        <v>389</v>
      </c>
      <c r="E51" s="12">
        <v>-300</v>
      </c>
      <c r="F51" s="11">
        <v>46218</v>
      </c>
      <c r="G51" s="10" t="s">
        <v>389</v>
      </c>
      <c r="H51" s="12">
        <v>-300</v>
      </c>
      <c r="I51" s="10" t="s">
        <v>155</v>
      </c>
      <c r="J51" s="10">
        <v>0</v>
      </c>
      <c r="K51" s="10" t="s">
        <v>148</v>
      </c>
      <c r="L51" s="10" t="s">
        <v>390</v>
      </c>
      <c r="M51" s="10" t="s">
        <v>86</v>
      </c>
      <c r="N51" s="9"/>
      <c r="O51" s="10">
        <v>2</v>
      </c>
      <c r="P51" s="10">
        <v>1</v>
      </c>
      <c r="Q51" s="10" t="s">
        <v>87</v>
      </c>
      <c r="R51" s="13" t="s">
        <v>391</v>
      </c>
      <c r="S51" s="13" t="s">
        <v>392</v>
      </c>
      <c r="T51" s="9"/>
      <c r="U51" s="13" t="s">
        <v>393</v>
      </c>
      <c r="V51" s="9"/>
      <c r="W51" s="9"/>
    </row>
  </sheetData>
  <autoFilter ref="A1:W51"/>
  <hyperlinks>
    <hyperlink ref="R2" r:id="rId1" location="#'Parsed Supplier Source'!A17"/>
    <hyperlink ref="U2" r:id="rId2" location="#'Parsed Ledger Source'!A17"/>
    <hyperlink ref="R3" r:id="rId3" location="#'Parsed Supplier Source'!A27"/>
    <hyperlink ref="U3" r:id="rId4" location="#'Parsed Ledger Source'!A27"/>
    <hyperlink ref="R4" r:id="rId5" location="#'Parsed Supplier Source'!A37"/>
    <hyperlink ref="U4" r:id="rId6" location="#'Parsed Ledger Source'!A37"/>
    <hyperlink ref="R5" r:id="rId7" location="#'Parsed Supplier Source'!A47"/>
    <hyperlink ref="U5" r:id="rId8" location="#'Parsed Ledger Source'!A47"/>
    <hyperlink ref="R6" r:id="rId9" location="#'Parsed Supplier Source'!A57"/>
    <hyperlink ref="U6" r:id="rId10" location="#'Parsed Ledger Source'!A57"/>
    <hyperlink ref="R7" r:id="rId11" location="#'Parsed Supplier Source'!A67"/>
    <hyperlink ref="U7" r:id="rId12" location="#'Parsed Ledger Source'!A67"/>
    <hyperlink ref="R8" r:id="rId13" location="#'Parsed Supplier Source'!A77"/>
    <hyperlink ref="U8" r:id="rId14" location="#'Parsed Ledger Source'!A77"/>
    <hyperlink ref="R9" r:id="rId15" location="#'Parsed Supplier Source'!A87"/>
    <hyperlink ref="U9" r:id="rId16" location="#'Parsed Ledger Source'!A87"/>
    <hyperlink ref="R10" r:id="rId17" location="#'Parsed Supplier Source'!A97"/>
    <hyperlink ref="U10" r:id="rId18" location="#'Parsed Ledger Source'!A97"/>
    <hyperlink ref="R11" r:id="rId19" location="#'Parsed Supplier Source'!A107"/>
    <hyperlink ref="U11" r:id="rId20" location="#'Parsed Ledger Source'!A107"/>
    <hyperlink ref="R12" r:id="rId21" location="#'Parsed Supplier Source'!A8"/>
    <hyperlink ref="U12" r:id="rId22" location="#'Parsed Ledger Source'!A8"/>
    <hyperlink ref="V12" r:id="rId23" location="#'Parsed Ledger Source'!A9"/>
    <hyperlink ref="W12" r:id="rId24" location="#'Parsed Ledger Source'!A10"/>
    <hyperlink ref="R13" r:id="rId25" location="#'Parsed Supplier Source'!A9"/>
    <hyperlink ref="S13" r:id="rId26" location="#'Parsed Supplier Source'!A10"/>
    <hyperlink ref="T13" r:id="rId27" location="#'Parsed Supplier Source'!A11"/>
    <hyperlink ref="U13" r:id="rId28" location="#'Parsed Ledger Source'!A11"/>
    <hyperlink ref="R14" r:id="rId29" location="#'Parsed Supplier Source'!A12"/>
    <hyperlink ref="U14" r:id="rId30" location="#'Parsed Ledger Source'!A12"/>
    <hyperlink ref="V14" r:id="rId31" location="#'Parsed Ledger Source'!A13"/>
    <hyperlink ref="R15" r:id="rId32" location="#'Parsed Supplier Source'!A13"/>
    <hyperlink ref="S15" r:id="rId33" location="#'Parsed Supplier Source'!A14"/>
    <hyperlink ref="U15" r:id="rId34" location="#'Parsed Ledger Source'!A14"/>
    <hyperlink ref="R16" r:id="rId35" location="#'Parsed Supplier Source'!A18"/>
    <hyperlink ref="U16" r:id="rId36" location="#'Parsed Ledger Source'!A18"/>
    <hyperlink ref="V16" r:id="rId37" location="#'Parsed Ledger Source'!A19"/>
    <hyperlink ref="W16" r:id="rId38" location="#'Parsed Ledger Source'!A20"/>
    <hyperlink ref="R17" r:id="rId39" location="#'Parsed Supplier Source'!A19"/>
    <hyperlink ref="S17" r:id="rId40" location="#'Parsed Supplier Source'!A20"/>
    <hyperlink ref="T17" r:id="rId41" location="#'Parsed Supplier Source'!A21"/>
    <hyperlink ref="U17" r:id="rId42" location="#'Parsed Ledger Source'!A21"/>
    <hyperlink ref="R18" r:id="rId43" location="#'Parsed Supplier Source'!A22"/>
    <hyperlink ref="U18" r:id="rId44" location="#'Parsed Ledger Source'!A22"/>
    <hyperlink ref="V18" r:id="rId45" location="#'Parsed Ledger Source'!A23"/>
    <hyperlink ref="R19" r:id="rId46" location="#'Parsed Supplier Source'!A23"/>
    <hyperlink ref="S19" r:id="rId47" location="#'Parsed Supplier Source'!A24"/>
    <hyperlink ref="U19" r:id="rId48" location="#'Parsed Ledger Source'!A24"/>
    <hyperlink ref="R20" r:id="rId49" location="#'Parsed Supplier Source'!A28"/>
    <hyperlink ref="U20" r:id="rId50" location="#'Parsed Ledger Source'!A28"/>
    <hyperlink ref="V20" r:id="rId51" location="#'Parsed Ledger Source'!A29"/>
    <hyperlink ref="W20" r:id="rId52" location="#'Parsed Ledger Source'!A30"/>
    <hyperlink ref="R21" r:id="rId53" location="#'Parsed Supplier Source'!A29"/>
    <hyperlink ref="S21" r:id="rId54" location="#'Parsed Supplier Source'!A30"/>
    <hyperlink ref="T21" r:id="rId55" location="#'Parsed Supplier Source'!A31"/>
    <hyperlink ref="U21" r:id="rId56" location="#'Parsed Ledger Source'!A31"/>
    <hyperlink ref="R22" r:id="rId57" location="#'Parsed Supplier Source'!A32"/>
    <hyperlink ref="U22" r:id="rId58" location="#'Parsed Ledger Source'!A32"/>
    <hyperlink ref="V22" r:id="rId59" location="#'Parsed Ledger Source'!A33"/>
    <hyperlink ref="R23" r:id="rId60" location="#'Parsed Supplier Source'!A33"/>
    <hyperlink ref="S23" r:id="rId61" location="#'Parsed Supplier Source'!A34"/>
    <hyperlink ref="U23" r:id="rId62" location="#'Parsed Ledger Source'!A34"/>
    <hyperlink ref="R24" r:id="rId63" location="#'Parsed Supplier Source'!A38"/>
    <hyperlink ref="U24" r:id="rId64" location="#'Parsed Ledger Source'!A38"/>
    <hyperlink ref="V24" r:id="rId65" location="#'Parsed Ledger Source'!A39"/>
    <hyperlink ref="W24" r:id="rId66" location="#'Parsed Ledger Source'!A40"/>
    <hyperlink ref="R25" r:id="rId67" location="#'Parsed Supplier Source'!A39"/>
    <hyperlink ref="S25" r:id="rId68" location="#'Parsed Supplier Source'!A40"/>
    <hyperlink ref="T25" r:id="rId69" location="#'Parsed Supplier Source'!A41"/>
    <hyperlink ref="U25" r:id="rId70" location="#'Parsed Ledger Source'!A41"/>
    <hyperlink ref="R26" r:id="rId71" location="#'Parsed Supplier Source'!A42"/>
    <hyperlink ref="U26" r:id="rId72" location="#'Parsed Ledger Source'!A42"/>
    <hyperlink ref="V26" r:id="rId73" location="#'Parsed Ledger Source'!A43"/>
    <hyperlink ref="R27" r:id="rId74" location="#'Parsed Supplier Source'!A43"/>
    <hyperlink ref="S27" r:id="rId75" location="#'Parsed Supplier Source'!A44"/>
    <hyperlink ref="U27" r:id="rId76" location="#'Parsed Ledger Source'!A44"/>
    <hyperlink ref="R28" r:id="rId77" location="#'Parsed Supplier Source'!A48"/>
    <hyperlink ref="U28" r:id="rId78" location="#'Parsed Ledger Source'!A48"/>
    <hyperlink ref="V28" r:id="rId79" location="#'Parsed Ledger Source'!A49"/>
    <hyperlink ref="W28" r:id="rId80" location="#'Parsed Ledger Source'!A50"/>
    <hyperlink ref="R29" r:id="rId81" location="#'Parsed Supplier Source'!A49"/>
    <hyperlink ref="S29" r:id="rId82" location="#'Parsed Supplier Source'!A50"/>
    <hyperlink ref="T29" r:id="rId83" location="#'Parsed Supplier Source'!A51"/>
    <hyperlink ref="U29" r:id="rId84" location="#'Parsed Ledger Source'!A51"/>
    <hyperlink ref="R30" r:id="rId85" location="#'Parsed Supplier Source'!A52"/>
    <hyperlink ref="U30" r:id="rId86" location="#'Parsed Ledger Source'!A52"/>
    <hyperlink ref="V30" r:id="rId87" location="#'Parsed Ledger Source'!A53"/>
    <hyperlink ref="R31" r:id="rId88" location="#'Parsed Supplier Source'!A53"/>
    <hyperlink ref="S31" r:id="rId89" location="#'Parsed Supplier Source'!A54"/>
    <hyperlink ref="U31" r:id="rId90" location="#'Parsed Ledger Source'!A54"/>
    <hyperlink ref="R32" r:id="rId91" location="#'Parsed Supplier Source'!A58"/>
    <hyperlink ref="U32" r:id="rId92" location="#'Parsed Ledger Source'!A58"/>
    <hyperlink ref="V32" r:id="rId93" location="#'Parsed Ledger Source'!A59"/>
    <hyperlink ref="W32" r:id="rId94" location="#'Parsed Ledger Source'!A60"/>
    <hyperlink ref="R33" r:id="rId95" location="#'Parsed Supplier Source'!A59"/>
    <hyperlink ref="S33" r:id="rId96" location="#'Parsed Supplier Source'!A60"/>
    <hyperlink ref="T33" r:id="rId97" location="#'Parsed Supplier Source'!A61"/>
    <hyperlink ref="U33" r:id="rId98" location="#'Parsed Ledger Source'!A61"/>
    <hyperlink ref="R34" r:id="rId99" location="#'Parsed Supplier Source'!A62"/>
    <hyperlink ref="U34" r:id="rId100" location="#'Parsed Ledger Source'!A62"/>
    <hyperlink ref="V34" r:id="rId101" location="#'Parsed Ledger Source'!A63"/>
    <hyperlink ref="R35" r:id="rId102" location="#'Parsed Supplier Source'!A63"/>
    <hyperlink ref="S35" r:id="rId103" location="#'Parsed Supplier Source'!A64"/>
    <hyperlink ref="U35" r:id="rId104" location="#'Parsed Ledger Source'!A64"/>
    <hyperlink ref="R36" r:id="rId105" location="#'Parsed Supplier Source'!A68"/>
    <hyperlink ref="U36" r:id="rId106" location="#'Parsed Ledger Source'!A68"/>
    <hyperlink ref="V36" r:id="rId107" location="#'Parsed Ledger Source'!A69"/>
    <hyperlink ref="W36" r:id="rId108" location="#'Parsed Ledger Source'!A70"/>
    <hyperlink ref="R37" r:id="rId109" location="#'Parsed Supplier Source'!A69"/>
    <hyperlink ref="S37" r:id="rId110" location="#'Parsed Supplier Source'!A70"/>
    <hyperlink ref="T37" r:id="rId111" location="#'Parsed Supplier Source'!A71"/>
    <hyperlink ref="U37" r:id="rId112" location="#'Parsed Ledger Source'!A71"/>
    <hyperlink ref="R38" r:id="rId113" location="#'Parsed Supplier Source'!A72"/>
    <hyperlink ref="U38" r:id="rId114" location="#'Parsed Ledger Source'!A72"/>
    <hyperlink ref="V38" r:id="rId115" location="#'Parsed Ledger Source'!A73"/>
    <hyperlink ref="R39" r:id="rId116" location="#'Parsed Supplier Source'!A73"/>
    <hyperlink ref="S39" r:id="rId117" location="#'Parsed Supplier Source'!A74"/>
    <hyperlink ref="U39" r:id="rId118" location="#'Parsed Ledger Source'!A74"/>
    <hyperlink ref="R40" r:id="rId119" location="#'Parsed Supplier Source'!A78"/>
    <hyperlink ref="U40" r:id="rId120" location="#'Parsed Ledger Source'!A78"/>
    <hyperlink ref="V40" r:id="rId121" location="#'Parsed Ledger Source'!A79"/>
    <hyperlink ref="W40" r:id="rId122" location="#'Parsed Ledger Source'!A80"/>
    <hyperlink ref="R41" r:id="rId123" location="#'Parsed Supplier Source'!A79"/>
    <hyperlink ref="S41" r:id="rId124" location="#'Parsed Supplier Source'!A80"/>
    <hyperlink ref="T41" r:id="rId125" location="#'Parsed Supplier Source'!A81"/>
    <hyperlink ref="U41" r:id="rId126" location="#'Parsed Ledger Source'!A81"/>
    <hyperlink ref="R42" r:id="rId127" location="#'Parsed Supplier Source'!A82"/>
    <hyperlink ref="U42" r:id="rId128" location="#'Parsed Ledger Source'!A82"/>
    <hyperlink ref="V42" r:id="rId129" location="#'Parsed Ledger Source'!A83"/>
    <hyperlink ref="R43" r:id="rId130" location="#'Parsed Supplier Source'!A83"/>
    <hyperlink ref="S43" r:id="rId131" location="#'Parsed Supplier Source'!A84"/>
    <hyperlink ref="U43" r:id="rId132" location="#'Parsed Ledger Source'!A84"/>
    <hyperlink ref="R44" r:id="rId133" location="#'Parsed Supplier Source'!A88"/>
    <hyperlink ref="U44" r:id="rId134" location="#'Parsed Ledger Source'!A88"/>
    <hyperlink ref="V44" r:id="rId135" location="#'Parsed Ledger Source'!A89"/>
    <hyperlink ref="W44" r:id="rId136" location="#'Parsed Ledger Source'!A90"/>
    <hyperlink ref="R45" r:id="rId137" location="#'Parsed Supplier Source'!A89"/>
    <hyperlink ref="S45" r:id="rId138" location="#'Parsed Supplier Source'!A90"/>
    <hyperlink ref="T45" r:id="rId139" location="#'Parsed Supplier Source'!A91"/>
    <hyperlink ref="U45" r:id="rId140" location="#'Parsed Ledger Source'!A91"/>
    <hyperlink ref="R46" r:id="rId141" location="#'Parsed Supplier Source'!A92"/>
    <hyperlink ref="U46" r:id="rId142" location="#'Parsed Ledger Source'!A92"/>
    <hyperlink ref="V46" r:id="rId143" location="#'Parsed Ledger Source'!A93"/>
    <hyperlink ref="R47" r:id="rId144" location="#'Parsed Supplier Source'!A93"/>
    <hyperlink ref="S47" r:id="rId145" location="#'Parsed Supplier Source'!A94"/>
    <hyperlink ref="U47" r:id="rId146" location="#'Parsed Ledger Source'!A94"/>
    <hyperlink ref="R48" r:id="rId147" location="#'Parsed Supplier Source'!A98"/>
    <hyperlink ref="U48" r:id="rId148" location="#'Parsed Ledger Source'!A98"/>
    <hyperlink ref="V48" r:id="rId149" location="#'Parsed Ledger Source'!A99"/>
    <hyperlink ref="W48" r:id="rId150" location="#'Parsed Ledger Source'!A100"/>
    <hyperlink ref="R49" r:id="rId151" location="#'Parsed Supplier Source'!A99"/>
    <hyperlink ref="S49" r:id="rId152" location="#'Parsed Supplier Source'!A100"/>
    <hyperlink ref="T49" r:id="rId153" location="#'Parsed Supplier Source'!A101"/>
    <hyperlink ref="U49" r:id="rId154" location="#'Parsed Ledger Source'!A101"/>
    <hyperlink ref="R50" r:id="rId155" location="#'Parsed Supplier Source'!A102"/>
    <hyperlink ref="U50" r:id="rId156" location="#'Parsed Ledger Source'!A102"/>
    <hyperlink ref="V50" r:id="rId157" location="#'Parsed Ledger Source'!A103"/>
    <hyperlink ref="R51" r:id="rId158" location="#'Parsed Supplier Source'!A103"/>
    <hyperlink ref="S51" r:id="rId159" location="#'Parsed Supplier Source'!A104"/>
    <hyperlink ref="U51" r:id="rId160" location="#'Parsed Ledger Source'!A104"/>
  </hyperlinks>
  <pageMargins left="0.7" right="0.7" top="0.75" bottom="0.75" header="0.3" footer="0.3"/>
  <pageSetup orientation="landscape" horizontalDpi="4294967295" verticalDpi="4294967295" scale="100"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1"/>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25" customWidth="1"/>
    <col min="3" max="4" width="43" customWidth="1"/>
    <col min="5" max="7" width="19" style="7" customWidth="1"/>
    <col min="8" max="8" width="65" customWidth="1"/>
    <col min="9" max="10" width="58" customWidth="1"/>
    <col min="11" max="11" width="18" customWidth="1"/>
    <col min="12" max="12" width="42" customWidth="1"/>
    <col min="13" max="13" width="18" customWidth="1"/>
    <col min="14" max="15" width="16" customWidth="1"/>
    <col min="16" max="19" width="30" customWidth="1"/>
  </cols>
  <sheetData>
    <row r="1" ht="32" customHeight="1" spans="1:19" s="1" customFormat="1" x14ac:dyDescent="0.25">
      <c r="A1" s="2" t="s">
        <v>57</v>
      </c>
      <c r="B1" s="2" t="s">
        <v>394</v>
      </c>
      <c r="C1" s="2" t="s">
        <v>395</v>
      </c>
      <c r="D1" s="2" t="s">
        <v>396</v>
      </c>
      <c r="E1" s="8" t="s">
        <v>397</v>
      </c>
      <c r="F1" s="8" t="s">
        <v>398</v>
      </c>
      <c r="G1" s="8" t="s">
        <v>399</v>
      </c>
      <c r="H1" s="2" t="s">
        <v>68</v>
      </c>
      <c r="I1" s="2" t="s">
        <v>400</v>
      </c>
      <c r="J1" s="2" t="s">
        <v>401</v>
      </c>
      <c r="K1" s="2" t="s">
        <v>402</v>
      </c>
      <c r="L1" s="2" t="s">
        <v>403</v>
      </c>
      <c r="M1" s="2" t="s">
        <v>69</v>
      </c>
      <c r="N1" s="2" t="s">
        <v>71</v>
      </c>
      <c r="O1" s="2" t="s">
        <v>72</v>
      </c>
      <c r="P1" s="2" t="s">
        <v>74</v>
      </c>
      <c r="Q1" s="2" t="s">
        <v>75</v>
      </c>
      <c r="R1" s="2" t="s">
        <v>77</v>
      </c>
      <c r="S1" s="2" t="s">
        <v>78</v>
      </c>
    </row>
    <row r="2" ht="42" customHeight="1" spans="1:19" s="14" customFormat="1" x14ac:dyDescent="0.25">
      <c r="A2" s="15" t="s">
        <v>404</v>
      </c>
      <c r="B2" s="15" t="s">
        <v>405</v>
      </c>
      <c r="C2" s="15" t="s">
        <v>406</v>
      </c>
      <c r="D2" s="15" t="s">
        <v>406</v>
      </c>
      <c r="E2" s="16">
        <v>162</v>
      </c>
      <c r="F2" s="16">
        <v>162</v>
      </c>
      <c r="G2" s="16">
        <v>0</v>
      </c>
      <c r="H2" s="15" t="s">
        <v>407</v>
      </c>
      <c r="I2" s="15" t="s">
        <v>408</v>
      </c>
      <c r="J2" s="15" t="s">
        <v>409</v>
      </c>
      <c r="K2" s="15" t="s">
        <v>410</v>
      </c>
      <c r="L2" s="14"/>
      <c r="M2" s="15" t="s">
        <v>411</v>
      </c>
      <c r="N2" s="15">
        <v>2</v>
      </c>
      <c r="O2" s="15">
        <v>2</v>
      </c>
      <c r="P2" s="17" t="s">
        <v>412</v>
      </c>
      <c r="Q2" s="17" t="s">
        <v>413</v>
      </c>
      <c r="R2" s="17" t="s">
        <v>414</v>
      </c>
      <c r="S2" s="17" t="s">
        <v>415</v>
      </c>
    </row>
    <row r="3" ht="42" customHeight="1" spans="1:19" s="14" customFormat="1" x14ac:dyDescent="0.25">
      <c r="A3" s="15" t="s">
        <v>416</v>
      </c>
      <c r="B3" s="15" t="s">
        <v>405</v>
      </c>
      <c r="C3" s="15" t="s">
        <v>417</v>
      </c>
      <c r="D3" s="15" t="s">
        <v>417</v>
      </c>
      <c r="E3" s="16">
        <v>162</v>
      </c>
      <c r="F3" s="16">
        <v>162</v>
      </c>
      <c r="G3" s="16">
        <v>0</v>
      </c>
      <c r="H3" s="15" t="s">
        <v>407</v>
      </c>
      <c r="I3" s="15" t="s">
        <v>408</v>
      </c>
      <c r="J3" s="15" t="s">
        <v>409</v>
      </c>
      <c r="K3" s="15" t="s">
        <v>410</v>
      </c>
      <c r="L3" s="14"/>
      <c r="M3" s="15" t="s">
        <v>411</v>
      </c>
      <c r="N3" s="15">
        <v>2</v>
      </c>
      <c r="O3" s="15">
        <v>2</v>
      </c>
      <c r="P3" s="17" t="s">
        <v>418</v>
      </c>
      <c r="Q3" s="17" t="s">
        <v>419</v>
      </c>
      <c r="R3" s="17" t="s">
        <v>420</v>
      </c>
      <c r="S3" s="17" t="s">
        <v>421</v>
      </c>
    </row>
    <row r="4" ht="42" customHeight="1" spans="1:19" s="14" customFormat="1" x14ac:dyDescent="0.25">
      <c r="A4" s="15" t="s">
        <v>422</v>
      </c>
      <c r="B4" s="15" t="s">
        <v>405</v>
      </c>
      <c r="C4" s="15" t="s">
        <v>423</v>
      </c>
      <c r="D4" s="15" t="s">
        <v>423</v>
      </c>
      <c r="E4" s="16">
        <v>162</v>
      </c>
      <c r="F4" s="16">
        <v>162</v>
      </c>
      <c r="G4" s="16">
        <v>0</v>
      </c>
      <c r="H4" s="15" t="s">
        <v>407</v>
      </c>
      <c r="I4" s="15" t="s">
        <v>408</v>
      </c>
      <c r="J4" s="15" t="s">
        <v>409</v>
      </c>
      <c r="K4" s="15" t="s">
        <v>410</v>
      </c>
      <c r="L4" s="14"/>
      <c r="M4" s="15" t="s">
        <v>411</v>
      </c>
      <c r="N4" s="15">
        <v>2</v>
      </c>
      <c r="O4" s="15">
        <v>2</v>
      </c>
      <c r="P4" s="17" t="s">
        <v>424</v>
      </c>
      <c r="Q4" s="17" t="s">
        <v>425</v>
      </c>
      <c r="R4" s="17" t="s">
        <v>426</v>
      </c>
      <c r="S4" s="17" t="s">
        <v>427</v>
      </c>
    </row>
    <row r="5" ht="42" customHeight="1" spans="1:19" s="14" customFormat="1" x14ac:dyDescent="0.25">
      <c r="A5" s="15" t="s">
        <v>428</v>
      </c>
      <c r="B5" s="15" t="s">
        <v>405</v>
      </c>
      <c r="C5" s="15" t="s">
        <v>429</v>
      </c>
      <c r="D5" s="15" t="s">
        <v>429</v>
      </c>
      <c r="E5" s="16">
        <v>162</v>
      </c>
      <c r="F5" s="16">
        <v>162</v>
      </c>
      <c r="G5" s="16">
        <v>0</v>
      </c>
      <c r="H5" s="15" t="s">
        <v>407</v>
      </c>
      <c r="I5" s="15" t="s">
        <v>408</v>
      </c>
      <c r="J5" s="15" t="s">
        <v>409</v>
      </c>
      <c r="K5" s="15" t="s">
        <v>410</v>
      </c>
      <c r="L5" s="14"/>
      <c r="M5" s="15" t="s">
        <v>411</v>
      </c>
      <c r="N5" s="15">
        <v>2</v>
      </c>
      <c r="O5" s="15">
        <v>2</v>
      </c>
      <c r="P5" s="17" t="s">
        <v>430</v>
      </c>
      <c r="Q5" s="17" t="s">
        <v>431</v>
      </c>
      <c r="R5" s="17" t="s">
        <v>432</v>
      </c>
      <c r="S5" s="17" t="s">
        <v>433</v>
      </c>
    </row>
    <row r="6" ht="42" customHeight="1" spans="1:19" s="14" customFormat="1" x14ac:dyDescent="0.25">
      <c r="A6" s="15" t="s">
        <v>434</v>
      </c>
      <c r="B6" s="15" t="s">
        <v>405</v>
      </c>
      <c r="C6" s="15" t="s">
        <v>435</v>
      </c>
      <c r="D6" s="15" t="s">
        <v>435</v>
      </c>
      <c r="E6" s="16">
        <v>162</v>
      </c>
      <c r="F6" s="16">
        <v>162</v>
      </c>
      <c r="G6" s="16">
        <v>0</v>
      </c>
      <c r="H6" s="15" t="s">
        <v>407</v>
      </c>
      <c r="I6" s="15" t="s">
        <v>408</v>
      </c>
      <c r="J6" s="15" t="s">
        <v>409</v>
      </c>
      <c r="K6" s="15" t="s">
        <v>410</v>
      </c>
      <c r="L6" s="14"/>
      <c r="M6" s="15" t="s">
        <v>411</v>
      </c>
      <c r="N6" s="15">
        <v>2</v>
      </c>
      <c r="O6" s="15">
        <v>2</v>
      </c>
      <c r="P6" s="17" t="s">
        <v>436</v>
      </c>
      <c r="Q6" s="17" t="s">
        <v>437</v>
      </c>
      <c r="R6" s="17" t="s">
        <v>438</v>
      </c>
      <c r="S6" s="17" t="s">
        <v>439</v>
      </c>
    </row>
    <row r="7" ht="42" customHeight="1" spans="1:19" s="14" customFormat="1" x14ac:dyDescent="0.25">
      <c r="A7" s="15" t="s">
        <v>440</v>
      </c>
      <c r="B7" s="15" t="s">
        <v>405</v>
      </c>
      <c r="C7" s="15" t="s">
        <v>441</v>
      </c>
      <c r="D7" s="15" t="s">
        <v>441</v>
      </c>
      <c r="E7" s="16">
        <v>162</v>
      </c>
      <c r="F7" s="16">
        <v>162</v>
      </c>
      <c r="G7" s="16">
        <v>0</v>
      </c>
      <c r="H7" s="15" t="s">
        <v>407</v>
      </c>
      <c r="I7" s="15" t="s">
        <v>408</v>
      </c>
      <c r="J7" s="15" t="s">
        <v>409</v>
      </c>
      <c r="K7" s="15" t="s">
        <v>410</v>
      </c>
      <c r="L7" s="14"/>
      <c r="M7" s="15" t="s">
        <v>411</v>
      </c>
      <c r="N7" s="15">
        <v>2</v>
      </c>
      <c r="O7" s="15">
        <v>2</v>
      </c>
      <c r="P7" s="17" t="s">
        <v>442</v>
      </c>
      <c r="Q7" s="17" t="s">
        <v>443</v>
      </c>
      <c r="R7" s="17" t="s">
        <v>444</v>
      </c>
      <c r="S7" s="17" t="s">
        <v>445</v>
      </c>
    </row>
    <row r="8" ht="42" customHeight="1" spans="1:19" s="14" customFormat="1" x14ac:dyDescent="0.25">
      <c r="A8" s="15" t="s">
        <v>446</v>
      </c>
      <c r="B8" s="15" t="s">
        <v>405</v>
      </c>
      <c r="C8" s="15" t="s">
        <v>447</v>
      </c>
      <c r="D8" s="15" t="s">
        <v>447</v>
      </c>
      <c r="E8" s="16">
        <v>162</v>
      </c>
      <c r="F8" s="16">
        <v>162</v>
      </c>
      <c r="G8" s="16">
        <v>0</v>
      </c>
      <c r="H8" s="15" t="s">
        <v>407</v>
      </c>
      <c r="I8" s="15" t="s">
        <v>408</v>
      </c>
      <c r="J8" s="15" t="s">
        <v>409</v>
      </c>
      <c r="K8" s="15" t="s">
        <v>410</v>
      </c>
      <c r="L8" s="14"/>
      <c r="M8" s="15" t="s">
        <v>411</v>
      </c>
      <c r="N8" s="15">
        <v>2</v>
      </c>
      <c r="O8" s="15">
        <v>2</v>
      </c>
      <c r="P8" s="17" t="s">
        <v>448</v>
      </c>
      <c r="Q8" s="17" t="s">
        <v>449</v>
      </c>
      <c r="R8" s="17" t="s">
        <v>450</v>
      </c>
      <c r="S8" s="17" t="s">
        <v>451</v>
      </c>
    </row>
    <row r="9" ht="42" customHeight="1" spans="1:19" s="14" customFormat="1" x14ac:dyDescent="0.25">
      <c r="A9" s="15" t="s">
        <v>452</v>
      </c>
      <c r="B9" s="15" t="s">
        <v>405</v>
      </c>
      <c r="C9" s="15" t="s">
        <v>453</v>
      </c>
      <c r="D9" s="15" t="s">
        <v>453</v>
      </c>
      <c r="E9" s="16">
        <v>162</v>
      </c>
      <c r="F9" s="16">
        <v>162</v>
      </c>
      <c r="G9" s="16">
        <v>0</v>
      </c>
      <c r="H9" s="15" t="s">
        <v>407</v>
      </c>
      <c r="I9" s="15" t="s">
        <v>408</v>
      </c>
      <c r="J9" s="15" t="s">
        <v>409</v>
      </c>
      <c r="K9" s="15" t="s">
        <v>410</v>
      </c>
      <c r="L9" s="14"/>
      <c r="M9" s="15" t="s">
        <v>411</v>
      </c>
      <c r="N9" s="15">
        <v>2</v>
      </c>
      <c r="O9" s="15">
        <v>2</v>
      </c>
      <c r="P9" s="17" t="s">
        <v>454</v>
      </c>
      <c r="Q9" s="17" t="s">
        <v>455</v>
      </c>
      <c r="R9" s="17" t="s">
        <v>456</v>
      </c>
      <c r="S9" s="17" t="s">
        <v>457</v>
      </c>
    </row>
    <row r="10" ht="42" customHeight="1" spans="1:19" s="14" customFormat="1" x14ac:dyDescent="0.25">
      <c r="A10" s="15" t="s">
        <v>458</v>
      </c>
      <c r="B10" s="15" t="s">
        <v>405</v>
      </c>
      <c r="C10" s="15" t="s">
        <v>459</v>
      </c>
      <c r="D10" s="15" t="s">
        <v>459</v>
      </c>
      <c r="E10" s="16">
        <v>162</v>
      </c>
      <c r="F10" s="16">
        <v>162</v>
      </c>
      <c r="G10" s="16">
        <v>0</v>
      </c>
      <c r="H10" s="15" t="s">
        <v>407</v>
      </c>
      <c r="I10" s="15" t="s">
        <v>408</v>
      </c>
      <c r="J10" s="15" t="s">
        <v>409</v>
      </c>
      <c r="K10" s="15" t="s">
        <v>410</v>
      </c>
      <c r="L10" s="14"/>
      <c r="M10" s="15" t="s">
        <v>411</v>
      </c>
      <c r="N10" s="15">
        <v>2</v>
      </c>
      <c r="O10" s="15">
        <v>2</v>
      </c>
      <c r="P10" s="17" t="s">
        <v>460</v>
      </c>
      <c r="Q10" s="17" t="s">
        <v>461</v>
      </c>
      <c r="R10" s="17" t="s">
        <v>462</v>
      </c>
      <c r="S10" s="17" t="s">
        <v>463</v>
      </c>
    </row>
    <row r="11" ht="42" customHeight="1" spans="1:19" s="14" customFormat="1" x14ac:dyDescent="0.25">
      <c r="A11" s="15" t="s">
        <v>464</v>
      </c>
      <c r="B11" s="15" t="s">
        <v>405</v>
      </c>
      <c r="C11" s="15" t="s">
        <v>465</v>
      </c>
      <c r="D11" s="15" t="s">
        <v>465</v>
      </c>
      <c r="E11" s="16">
        <v>162</v>
      </c>
      <c r="F11" s="16">
        <v>162</v>
      </c>
      <c r="G11" s="16">
        <v>0</v>
      </c>
      <c r="H11" s="15" t="s">
        <v>407</v>
      </c>
      <c r="I11" s="15" t="s">
        <v>408</v>
      </c>
      <c r="J11" s="15" t="s">
        <v>409</v>
      </c>
      <c r="K11" s="15" t="s">
        <v>410</v>
      </c>
      <c r="L11" s="14"/>
      <c r="M11" s="15" t="s">
        <v>411</v>
      </c>
      <c r="N11" s="15">
        <v>2</v>
      </c>
      <c r="O11" s="15">
        <v>2</v>
      </c>
      <c r="P11" s="17" t="s">
        <v>466</v>
      </c>
      <c r="Q11" s="17" t="s">
        <v>467</v>
      </c>
      <c r="R11" s="17" t="s">
        <v>468</v>
      </c>
      <c r="S11" s="17" t="s">
        <v>469</v>
      </c>
    </row>
  </sheetData>
  <autoFilter ref="A1:S11"/>
  <hyperlinks>
    <hyperlink ref="P2" r:id="rId1" location="#'Parsed Supplier Source'!A15"/>
    <hyperlink ref="Q2" r:id="rId2" location="#'Parsed Supplier Source'!A16"/>
    <hyperlink ref="R2" r:id="rId3" location="#'Parsed Ledger Source'!A15"/>
    <hyperlink ref="S2" r:id="rId4" location="#'Parsed Ledger Source'!A16"/>
    <hyperlink ref="P3" r:id="rId5" location="#'Parsed Supplier Source'!A25"/>
    <hyperlink ref="Q3" r:id="rId6" location="#'Parsed Supplier Source'!A26"/>
    <hyperlink ref="R3" r:id="rId7" location="#'Parsed Ledger Source'!A25"/>
    <hyperlink ref="S3" r:id="rId8" location="#'Parsed Ledger Source'!A26"/>
    <hyperlink ref="P4" r:id="rId9" location="#'Parsed Supplier Source'!A35"/>
    <hyperlink ref="Q4" r:id="rId10" location="#'Parsed Supplier Source'!A36"/>
    <hyperlink ref="R4" r:id="rId11" location="#'Parsed Ledger Source'!A35"/>
    <hyperlink ref="S4" r:id="rId12" location="#'Parsed Ledger Source'!A36"/>
    <hyperlink ref="P5" r:id="rId13" location="#'Parsed Supplier Source'!A45"/>
    <hyperlink ref="Q5" r:id="rId14" location="#'Parsed Supplier Source'!A46"/>
    <hyperlink ref="R5" r:id="rId15" location="#'Parsed Ledger Source'!A45"/>
    <hyperlink ref="S5" r:id="rId16" location="#'Parsed Ledger Source'!A46"/>
    <hyperlink ref="P6" r:id="rId17" location="#'Parsed Supplier Source'!A55"/>
    <hyperlink ref="Q6" r:id="rId18" location="#'Parsed Supplier Source'!A56"/>
    <hyperlink ref="R6" r:id="rId19" location="#'Parsed Ledger Source'!A55"/>
    <hyperlink ref="S6" r:id="rId20" location="#'Parsed Ledger Source'!A56"/>
    <hyperlink ref="P7" r:id="rId21" location="#'Parsed Supplier Source'!A65"/>
    <hyperlink ref="Q7" r:id="rId22" location="#'Parsed Supplier Source'!A66"/>
    <hyperlink ref="R7" r:id="rId23" location="#'Parsed Ledger Source'!A65"/>
    <hyperlink ref="S7" r:id="rId24" location="#'Parsed Ledger Source'!A66"/>
    <hyperlink ref="P8" r:id="rId25" location="#'Parsed Supplier Source'!A75"/>
    <hyperlink ref="Q8" r:id="rId26" location="#'Parsed Supplier Source'!A76"/>
    <hyperlink ref="R8" r:id="rId27" location="#'Parsed Ledger Source'!A75"/>
    <hyperlink ref="S8" r:id="rId28" location="#'Parsed Ledger Source'!A76"/>
    <hyperlink ref="P9" r:id="rId29" location="#'Parsed Supplier Source'!A85"/>
    <hyperlink ref="Q9" r:id="rId30" location="#'Parsed Supplier Source'!A86"/>
    <hyperlink ref="R9" r:id="rId31" location="#'Parsed Ledger Source'!A85"/>
    <hyperlink ref="S9" r:id="rId32" location="#'Parsed Ledger Source'!A86"/>
    <hyperlink ref="P10" r:id="rId33" location="#'Parsed Supplier Source'!A95"/>
    <hyperlink ref="Q10" r:id="rId34" location="#'Parsed Supplier Source'!A96"/>
    <hyperlink ref="R10" r:id="rId35" location="#'Parsed Ledger Source'!A95"/>
    <hyperlink ref="S10" r:id="rId36" location="#'Parsed Ledger Source'!A96"/>
    <hyperlink ref="P11" r:id="rId37" location="#'Parsed Supplier Source'!A105"/>
    <hyperlink ref="Q11" r:id="rId38" location="#'Parsed Supplier Source'!A106"/>
    <hyperlink ref="R11" r:id="rId39" location="#'Parsed Ledger Source'!A105"/>
    <hyperlink ref="S11" r:id="rId40" location="#'Parsed Ledger Source'!A106"/>
  </hyperlinks>
  <pageMargins left="0.7" right="0.7" top="0.75" bottom="0.75" header="0.3" footer="0.3"/>
  <pageSetup orientation="landscape" horizontalDpi="4294967295" verticalDpi="4294967295" scale="100"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14" customWidth="1"/>
    <col min="3" max="3" width="15" customWidth="1"/>
    <col min="4" max="4" width="19" customWidth="1"/>
    <col min="5" max="5" width="28" customWidth="1"/>
    <col min="6" max="6" width="37" customWidth="1"/>
    <col min="7" max="7" width="55" customWidth="1"/>
    <col min="8" max="8" width="19" style="7" customWidth="1"/>
    <col min="9" max="9" width="60" customWidth="1"/>
    <col min="10" max="10" width="42" customWidth="1"/>
    <col min="11" max="11" width="15" customWidth="1"/>
  </cols>
  <sheetData>
    <row r="1" ht="32" customHeight="1" spans="1:11" s="1" customFormat="1" x14ac:dyDescent="0.25">
      <c r="A1" s="2" t="s">
        <v>57</v>
      </c>
      <c r="B1" s="2" t="s">
        <v>470</v>
      </c>
      <c r="C1" s="2" t="s">
        <v>471</v>
      </c>
      <c r="D1" s="2" t="s">
        <v>472</v>
      </c>
      <c r="E1" s="2" t="s">
        <v>473</v>
      </c>
      <c r="F1" s="2" t="s">
        <v>474</v>
      </c>
      <c r="G1" s="2" t="s">
        <v>475</v>
      </c>
      <c r="H1" s="8" t="s">
        <v>476</v>
      </c>
      <c r="I1" s="2" t="s">
        <v>477</v>
      </c>
      <c r="J1" s="2" t="s">
        <v>478</v>
      </c>
      <c r="K1" s="2" t="s">
        <v>479</v>
      </c>
    </row>
  </sheetData>
  <autoFilter ref="A1:K1"/>
  <pageMargins left="0.7" right="0.7" top="0.75" bottom="0.75" header="0.3" footer="0.3"/>
  <pageSetup orientation="landscape" horizontalDpi="4294967295" verticalDpi="4294967295" scale="100"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2"/>
  <sheetViews>
    <sheetView workbookViewId="0" rightToLeft="1">
      <pane ySplit="1" topLeftCell="A2" activePane="bottomLeft" state="frozen"/>
      <selection pane="bottomLeft"/>
    </sheetView>
  </sheetViews>
  <sheetFormatPr defaultRowHeight="15" outlineLevelRow="0" outlineLevelCol="0" x14ac:dyDescent="55"/>
  <cols>
    <col min="1" max="1" width="26" customWidth="1"/>
    <col min="2" max="2" width="28" customWidth="1"/>
    <col min="3" max="3" width="20" style="7" customWidth="1"/>
    <col min="4" max="4" width="27" style="7" customWidth="1"/>
    <col min="5" max="5" width="28" style="7" customWidth="1"/>
    <col min="6" max="6" width="70" customWidth="1"/>
    <col min="7" max="7" width="20" customWidth="1"/>
    <col min="8" max="8" width="44" customWidth="1"/>
  </cols>
  <sheetData>
    <row r="1" ht="32" customHeight="1" spans="1:8" s="1" customFormat="1" x14ac:dyDescent="0.25">
      <c r="A1" s="2" t="s">
        <v>57</v>
      </c>
      <c r="B1" s="2" t="s">
        <v>394</v>
      </c>
      <c r="C1" s="8" t="s">
        <v>61</v>
      </c>
      <c r="D1" s="8" t="s">
        <v>64</v>
      </c>
      <c r="E1" s="8" t="s">
        <v>480</v>
      </c>
      <c r="F1" s="2" t="s">
        <v>481</v>
      </c>
      <c r="G1" s="2" t="s">
        <v>482</v>
      </c>
      <c r="H1" s="2" t="s">
        <v>483</v>
      </c>
    </row>
    <row r="3" ht="32" customHeight="1" spans="4:5" x14ac:dyDescent="0.25">
      <c r="D3" s="18" t="s">
        <v>46</v>
      </c>
      <c r="E3" s="7">
        <f>0</f>
        <v>0</v>
      </c>
    </row>
    <row r="4" ht="32" customHeight="1" spans="4:5" x14ac:dyDescent="0.25">
      <c r="D4" s="18" t="s">
        <v>26</v>
      </c>
      <c r="E4" s="7"/>
    </row>
    <row r="5" ht="32" customHeight="1" spans="4:5" x14ac:dyDescent="0.25">
      <c r="D5" s="18" t="s">
        <v>47</v>
      </c>
      <c r="E5" s="7"/>
    </row>
    <row r="6" ht="32" customHeight="1" spans="4:5" x14ac:dyDescent="0.25">
      <c r="D6" s="18" t="s">
        <v>27</v>
      </c>
      <c r="E6" s="7"/>
    </row>
    <row r="7" ht="32" customHeight="1" spans="4:5" x14ac:dyDescent="0.25">
      <c r="D7" s="18" t="s">
        <v>48</v>
      </c>
      <c r="E7" s="7"/>
    </row>
    <row r="9" spans="1:8" x14ac:dyDescent="0.25">
      <c r="A9" s="19" t="s">
        <v>484</v>
      </c>
      <c r="B9" s="19"/>
      <c r="C9" s="19"/>
      <c r="D9" s="19"/>
      <c r="E9" s="19"/>
      <c r="F9" s="19"/>
      <c r="G9" s="19"/>
      <c r="H9" s="19"/>
    </row>
    <row r="10" spans="1:8" x14ac:dyDescent="0.25">
      <c r="A10" s="19"/>
      <c r="B10" s="19"/>
      <c r="C10" s="19"/>
      <c r="D10" s="19"/>
      <c r="E10" s="19"/>
      <c r="F10" s="19"/>
      <c r="G10" s="19"/>
      <c r="H10" s="19"/>
    </row>
    <row r="12" spans="1:8" x14ac:dyDescent="0.25">
      <c r="A12" t="s">
        <v>485</v>
      </c>
      <c r="B12"/>
      <c r="C12"/>
      <c r="D12"/>
      <c r="E12"/>
      <c r="F12"/>
      <c r="G12"/>
      <c r="H12"/>
    </row>
    <row r="13" ht="48" customHeight="1" spans="1:8" s="3" customFormat="1" x14ac:dyDescent="0.25">
      <c r="A13" s="3" t="s">
        <v>404</v>
      </c>
      <c r="B13" s="3" t="s">
        <v>405</v>
      </c>
      <c r="C13" s="20">
        <v>162</v>
      </c>
      <c r="D13" s="20">
        <v>162</v>
      </c>
      <c r="E13" s="20">
        <v>0</v>
      </c>
      <c r="F13" s="3" t="s">
        <v>407</v>
      </c>
      <c r="G13" s="3" t="s">
        <v>411</v>
      </c>
      <c r="H13" s="3" t="s">
        <v>486</v>
      </c>
    </row>
    <row r="14" ht="48" customHeight="1" spans="1:8" s="3" customFormat="1" x14ac:dyDescent="0.25">
      <c r="A14" s="3" t="s">
        <v>416</v>
      </c>
      <c r="B14" s="3" t="s">
        <v>405</v>
      </c>
      <c r="C14" s="20">
        <v>162</v>
      </c>
      <c r="D14" s="20">
        <v>162</v>
      </c>
      <c r="E14" s="20">
        <v>0</v>
      </c>
      <c r="F14" s="3" t="s">
        <v>407</v>
      </c>
      <c r="G14" s="3" t="s">
        <v>411</v>
      </c>
      <c r="H14" s="3" t="s">
        <v>486</v>
      </c>
    </row>
    <row r="15" ht="48" customHeight="1" spans="1:8" s="3" customFormat="1" x14ac:dyDescent="0.25">
      <c r="A15" s="3" t="s">
        <v>422</v>
      </c>
      <c r="B15" s="3" t="s">
        <v>405</v>
      </c>
      <c r="C15" s="20">
        <v>162</v>
      </c>
      <c r="D15" s="20">
        <v>162</v>
      </c>
      <c r="E15" s="20">
        <v>0</v>
      </c>
      <c r="F15" s="3" t="s">
        <v>407</v>
      </c>
      <c r="G15" s="3" t="s">
        <v>411</v>
      </c>
      <c r="H15" s="3" t="s">
        <v>486</v>
      </c>
    </row>
    <row r="16" ht="48" customHeight="1" spans="1:8" s="3" customFormat="1" x14ac:dyDescent="0.25">
      <c r="A16" s="3" t="s">
        <v>428</v>
      </c>
      <c r="B16" s="3" t="s">
        <v>405</v>
      </c>
      <c r="C16" s="20">
        <v>162</v>
      </c>
      <c r="D16" s="20">
        <v>162</v>
      </c>
      <c r="E16" s="20">
        <v>0</v>
      </c>
      <c r="F16" s="3" t="s">
        <v>407</v>
      </c>
      <c r="G16" s="3" t="s">
        <v>411</v>
      </c>
      <c r="H16" s="3" t="s">
        <v>486</v>
      </c>
    </row>
    <row r="17" ht="48" customHeight="1" spans="1:8" s="3" customFormat="1" x14ac:dyDescent="0.25">
      <c r="A17" s="3" t="s">
        <v>434</v>
      </c>
      <c r="B17" s="3" t="s">
        <v>405</v>
      </c>
      <c r="C17" s="20">
        <v>162</v>
      </c>
      <c r="D17" s="20">
        <v>162</v>
      </c>
      <c r="E17" s="20">
        <v>0</v>
      </c>
      <c r="F17" s="3" t="s">
        <v>407</v>
      </c>
      <c r="G17" s="3" t="s">
        <v>411</v>
      </c>
      <c r="H17" s="3" t="s">
        <v>486</v>
      </c>
    </row>
    <row r="18" ht="48" customHeight="1" spans="1:8" s="3" customFormat="1" x14ac:dyDescent="0.25">
      <c r="A18" s="3" t="s">
        <v>440</v>
      </c>
      <c r="B18" s="3" t="s">
        <v>405</v>
      </c>
      <c r="C18" s="20">
        <v>162</v>
      </c>
      <c r="D18" s="20">
        <v>162</v>
      </c>
      <c r="E18" s="20">
        <v>0</v>
      </c>
      <c r="F18" s="3" t="s">
        <v>407</v>
      </c>
      <c r="G18" s="3" t="s">
        <v>411</v>
      </c>
      <c r="H18" s="3" t="s">
        <v>486</v>
      </c>
    </row>
    <row r="19" ht="48" customHeight="1" spans="1:8" s="3" customFormat="1" x14ac:dyDescent="0.25">
      <c r="A19" s="3" t="s">
        <v>446</v>
      </c>
      <c r="B19" s="3" t="s">
        <v>405</v>
      </c>
      <c r="C19" s="20">
        <v>162</v>
      </c>
      <c r="D19" s="20">
        <v>162</v>
      </c>
      <c r="E19" s="20">
        <v>0</v>
      </c>
      <c r="F19" s="3" t="s">
        <v>407</v>
      </c>
      <c r="G19" s="3" t="s">
        <v>411</v>
      </c>
      <c r="H19" s="3" t="s">
        <v>486</v>
      </c>
    </row>
    <row r="20" ht="48" customHeight="1" spans="1:8" s="3" customFormat="1" x14ac:dyDescent="0.25">
      <c r="A20" s="3" t="s">
        <v>452</v>
      </c>
      <c r="B20" s="3" t="s">
        <v>405</v>
      </c>
      <c r="C20" s="20">
        <v>162</v>
      </c>
      <c r="D20" s="20">
        <v>162</v>
      </c>
      <c r="E20" s="20">
        <v>0</v>
      </c>
      <c r="F20" s="3" t="s">
        <v>407</v>
      </c>
      <c r="G20" s="3" t="s">
        <v>411</v>
      </c>
      <c r="H20" s="3" t="s">
        <v>486</v>
      </c>
    </row>
    <row r="21" ht="48" customHeight="1" spans="1:8" s="3" customFormat="1" x14ac:dyDescent="0.25">
      <c r="A21" s="3" t="s">
        <v>458</v>
      </c>
      <c r="B21" s="3" t="s">
        <v>405</v>
      </c>
      <c r="C21" s="20">
        <v>162</v>
      </c>
      <c r="D21" s="20">
        <v>162</v>
      </c>
      <c r="E21" s="20">
        <v>0</v>
      </c>
      <c r="F21" s="3" t="s">
        <v>407</v>
      </c>
      <c r="G21" s="3" t="s">
        <v>411</v>
      </c>
      <c r="H21" s="3" t="s">
        <v>486</v>
      </c>
    </row>
    <row r="22" ht="48" customHeight="1" spans="1:8" s="3" customFormat="1" x14ac:dyDescent="0.25">
      <c r="A22" s="3" t="s">
        <v>464</v>
      </c>
      <c r="B22" s="3" t="s">
        <v>405</v>
      </c>
      <c r="C22" s="20">
        <v>162</v>
      </c>
      <c r="D22" s="20">
        <v>162</v>
      </c>
      <c r="E22" s="20">
        <v>0</v>
      </c>
      <c r="F22" s="3" t="s">
        <v>407</v>
      </c>
      <c r="G22" s="3" t="s">
        <v>411</v>
      </c>
      <c r="H22" s="3" t="s">
        <v>486</v>
      </c>
    </row>
  </sheetData>
  <autoFilter ref="A1:H1"/>
  <mergeCells count="2">
    <mergeCell ref="A9:H10"/>
    <mergeCell ref="A12:H12"/>
  </mergeCells>
  <hyperlinks>
    <hyperlink ref="H13" r:id="rId1" location="#'Needs Review'!A2"/>
    <hyperlink ref="H14" r:id="rId2" location="#'Needs Review'!A3"/>
    <hyperlink ref="H15" r:id="rId3" location="#'Needs Review'!A4"/>
    <hyperlink ref="H16" r:id="rId4" location="#'Needs Review'!A5"/>
    <hyperlink ref="H17" r:id="rId5" location="#'Needs Review'!A6"/>
    <hyperlink ref="H18" r:id="rId6" location="#'Needs Review'!A7"/>
    <hyperlink ref="H19" r:id="rId7" location="#'Needs Review'!A8"/>
    <hyperlink ref="H20" r:id="rId8" location="#'Needs Review'!A9"/>
    <hyperlink ref="H21" r:id="rId9" location="#'Needs Review'!A10"/>
    <hyperlink ref="H22" r:id="rId10" location="#'Needs Review'!A11"/>
  </hyperlinks>
  <pageMargins left="0.7" right="0.7" top="0.75" bottom="0.75" header="0.3" footer="0.3"/>
  <pageSetup orientation="landscape" horizontalDpi="4294967295" verticalDpi="4294967295" scale="100"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9"/>
  <sheetViews>
    <sheetView workbookViewId="0" rightToLeft="1">
      <pane ySplit="1" topLeftCell="A2" activePane="bottomLeft" state="frozen"/>
      <selection pane="bottomLeft"/>
    </sheetView>
  </sheetViews>
  <sheetFormatPr defaultRowHeight="15" outlineLevelRow="0" outlineLevelCol="0" x14ac:dyDescent="55"/>
  <cols>
    <col min="1" max="1" width="35" customWidth="1"/>
    <col min="2" max="2" width="100" customWidth="1"/>
  </cols>
  <sheetData>
    <row r="1" ht="32" customHeight="1" spans="1:2" s="1" customFormat="1" x14ac:dyDescent="0.25">
      <c r="A1" s="2" t="s">
        <v>0</v>
      </c>
      <c r="B1" s="2" t="s">
        <v>1</v>
      </c>
    </row>
    <row r="2" ht="42" customHeight="1" spans="1:2" x14ac:dyDescent="0.25">
      <c r="A2" s="3" t="s">
        <v>487</v>
      </c>
    </row>
    <row r="3" ht="42" customHeight="1" spans="1:2" x14ac:dyDescent="0.25">
      <c r="A3" s="3" t="s">
        <v>488</v>
      </c>
    </row>
    <row r="4" ht="42" customHeight="1" spans="1:2" x14ac:dyDescent="0.25">
      <c r="A4" s="3" t="s">
        <v>489</v>
      </c>
      <c r="B4" s="3" t="s">
        <v>490</v>
      </c>
    </row>
    <row r="5" ht="42" customHeight="1" spans="1:2" x14ac:dyDescent="0.25">
      <c r="A5" s="3" t="s">
        <v>491</v>
      </c>
      <c r="B5" s="3" t="s">
        <v>410</v>
      </c>
    </row>
    <row r="6" ht="42" customHeight="1" spans="1:2" x14ac:dyDescent="0.25">
      <c r="A6" s="3" t="s">
        <v>492</v>
      </c>
      <c r="B6" s="3" t="s">
        <v>493</v>
      </c>
    </row>
    <row r="7" ht="42" customHeight="1" spans="1:2" x14ac:dyDescent="0.25">
      <c r="A7" s="3" t="s">
        <v>494</v>
      </c>
    </row>
    <row r="8" ht="42" customHeight="1" spans="1:2" x14ac:dyDescent="0.25">
      <c r="A8" s="3" t="s">
        <v>2</v>
      </c>
      <c r="B8" s="3" t="s">
        <v>495</v>
      </c>
    </row>
    <row r="9" ht="42" customHeight="1" spans="1:2" x14ac:dyDescent="0.25">
      <c r="A9" s="3" t="s">
        <v>496</v>
      </c>
      <c r="B9" s="21" t="s">
        <v>497</v>
      </c>
    </row>
  </sheetData>
  <autoFilter ref="A1:B9"/>
  <hyperlinks>
    <hyperlink ref="B9" r:id="rId1" location="#'Review History'!A1"/>
  </hyperlinks>
  <pageMargins left="0.7" right="0.7" top="0.75" bottom="0.75" header="0.3" footer="0.3"/>
  <pageSetup orientation="portrait" horizontalDpi="4294967295" verticalDpi="4294967295" scale="100"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65"/>
  <sheetViews>
    <sheetView workbookViewId="0" rightToLeft="1">
      <pane ySplit="1" topLeftCell="A2" activePane="bottomLeft" state="frozen"/>
      <selection pane="bottomLeft"/>
    </sheetView>
  </sheetViews>
  <sheetFormatPr defaultRowHeight="15" outlineLevelRow="0" outlineLevelCol="0" x14ac:dyDescent="55"/>
  <cols>
    <col min="1" max="1" width="29" customWidth="1"/>
    <col min="2" max="3" width="45" customWidth="1"/>
  </cols>
  <sheetData>
    <row r="1" ht="28" customHeight="1" spans="1:3" s="22" customFormat="1" x14ac:dyDescent="0.25">
      <c r="A1" s="22" t="s">
        <v>498</v>
      </c>
      <c r="B1" s="22" t="s">
        <v>499</v>
      </c>
      <c r="C1" s="22" t="s">
        <v>500</v>
      </c>
    </row>
    <row r="2" spans="1:3" s="3" customFormat="1" x14ac:dyDescent="0.25">
      <c r="A2" s="3" t="s">
        <v>31</v>
      </c>
      <c r="B2" s="3" t="s">
        <v>501</v>
      </c>
      <c r="C2" s="3" t="s">
        <v>502</v>
      </c>
    </row>
    <row r="3" spans="1:3" s="3" customFormat="1" x14ac:dyDescent="0.25">
      <c r="A3" s="3" t="s">
        <v>37</v>
      </c>
      <c r="B3" s="3" t="s">
        <v>503</v>
      </c>
      <c r="C3" s="3" t="s">
        <v>502</v>
      </c>
    </row>
    <row r="4" spans="1:3" s="3" customFormat="1" x14ac:dyDescent="0.25">
      <c r="A4" s="3" t="s">
        <v>31</v>
      </c>
      <c r="B4" s="3" t="s">
        <v>504</v>
      </c>
      <c r="C4" s="3" t="s">
        <v>502</v>
      </c>
    </row>
    <row r="5" spans="1:3" s="3" customFormat="1" x14ac:dyDescent="0.25">
      <c r="A5" s="3" t="s">
        <v>37</v>
      </c>
      <c r="B5" s="3" t="s">
        <v>505</v>
      </c>
      <c r="C5" s="3" t="s">
        <v>502</v>
      </c>
    </row>
    <row r="6" spans="1:3" s="3" customFormat="1" x14ac:dyDescent="0.25">
      <c r="A6" s="3" t="s">
        <v>506</v>
      </c>
      <c r="B6" s="3" t="s">
        <v>85</v>
      </c>
      <c r="C6" s="3" t="s">
        <v>507</v>
      </c>
    </row>
    <row r="7" spans="1:3" s="3" customFormat="1" x14ac:dyDescent="0.25">
      <c r="A7" s="3" t="s">
        <v>506</v>
      </c>
      <c r="B7" s="3" t="s">
        <v>85</v>
      </c>
      <c r="C7" s="3" t="s">
        <v>508</v>
      </c>
    </row>
    <row r="8" spans="1:3" s="3" customFormat="1" x14ac:dyDescent="0.25">
      <c r="A8" s="3" t="s">
        <v>506</v>
      </c>
      <c r="B8" s="3" t="s">
        <v>85</v>
      </c>
      <c r="C8" s="3" t="s">
        <v>509</v>
      </c>
    </row>
    <row r="9" spans="1:3" s="3" customFormat="1" x14ac:dyDescent="0.25">
      <c r="A9" s="3" t="s">
        <v>506</v>
      </c>
      <c r="B9" s="3" t="s">
        <v>85</v>
      </c>
      <c r="C9" s="3" t="s">
        <v>510</v>
      </c>
    </row>
    <row r="10" spans="1:3" s="3" customFormat="1" x14ac:dyDescent="0.25">
      <c r="A10" s="3" t="s">
        <v>506</v>
      </c>
      <c r="B10" s="3" t="s">
        <v>85</v>
      </c>
      <c r="C10" s="3" t="s">
        <v>511</v>
      </c>
    </row>
    <row r="11" spans="1:3" s="3" customFormat="1" x14ac:dyDescent="0.25">
      <c r="A11" s="3" t="s">
        <v>506</v>
      </c>
      <c r="B11" s="3" t="s">
        <v>85</v>
      </c>
      <c r="C11" s="3" t="s">
        <v>512</v>
      </c>
    </row>
    <row r="12" spans="1:3" s="3" customFormat="1" x14ac:dyDescent="0.25">
      <c r="A12" s="3" t="s">
        <v>506</v>
      </c>
      <c r="B12" s="3" t="s">
        <v>85</v>
      </c>
      <c r="C12" s="3" t="s">
        <v>513</v>
      </c>
    </row>
    <row r="13" spans="1:3" s="3" customFormat="1" x14ac:dyDescent="0.25">
      <c r="A13" s="3" t="s">
        <v>506</v>
      </c>
      <c r="B13" s="3" t="s">
        <v>85</v>
      </c>
      <c r="C13" s="3" t="s">
        <v>514</v>
      </c>
    </row>
    <row r="14" spans="1:3" s="3" customFormat="1" x14ac:dyDescent="0.25">
      <c r="A14" s="3" t="s">
        <v>506</v>
      </c>
      <c r="B14" s="3" t="s">
        <v>85</v>
      </c>
      <c r="C14" s="3" t="s">
        <v>515</v>
      </c>
    </row>
    <row r="15" spans="1:3" s="3" customFormat="1" x14ac:dyDescent="0.25">
      <c r="A15" s="3" t="s">
        <v>506</v>
      </c>
      <c r="B15" s="3" t="s">
        <v>85</v>
      </c>
      <c r="C15" s="3" t="s">
        <v>516</v>
      </c>
    </row>
    <row r="16" spans="1:3" s="3" customFormat="1" x14ac:dyDescent="0.25">
      <c r="A16" s="3" t="s">
        <v>517</v>
      </c>
      <c r="B16" s="3" t="s">
        <v>131</v>
      </c>
      <c r="C16" s="3" t="s">
        <v>518</v>
      </c>
    </row>
    <row r="17" spans="1:3" s="3" customFormat="1" x14ac:dyDescent="0.25">
      <c r="A17" s="3" t="s">
        <v>519</v>
      </c>
      <c r="B17" s="3" t="s">
        <v>140</v>
      </c>
      <c r="C17" s="3" t="s">
        <v>520</v>
      </c>
    </row>
    <row r="18" spans="1:3" s="3" customFormat="1" x14ac:dyDescent="0.25">
      <c r="A18" s="3" t="s">
        <v>517</v>
      </c>
      <c r="B18" s="3" t="s">
        <v>149</v>
      </c>
      <c r="C18" s="3" t="s">
        <v>521</v>
      </c>
    </row>
    <row r="19" spans="1:3" s="3" customFormat="1" x14ac:dyDescent="0.25">
      <c r="A19" s="3" t="s">
        <v>519</v>
      </c>
      <c r="B19" s="3" t="s">
        <v>156</v>
      </c>
      <c r="C19" s="3" t="s">
        <v>522</v>
      </c>
    </row>
    <row r="20" spans="1:3" s="3" customFormat="1" x14ac:dyDescent="0.25">
      <c r="A20" s="3" t="s">
        <v>517</v>
      </c>
      <c r="B20" s="3" t="s">
        <v>162</v>
      </c>
      <c r="C20" s="3" t="s">
        <v>523</v>
      </c>
    </row>
    <row r="21" spans="1:3" s="3" customFormat="1" x14ac:dyDescent="0.25">
      <c r="A21" s="3" t="s">
        <v>519</v>
      </c>
      <c r="B21" s="3" t="s">
        <v>169</v>
      </c>
      <c r="C21" s="3" t="s">
        <v>524</v>
      </c>
    </row>
    <row r="22" spans="1:3" s="3" customFormat="1" x14ac:dyDescent="0.25">
      <c r="A22" s="3" t="s">
        <v>517</v>
      </c>
      <c r="B22" s="3" t="s">
        <v>176</v>
      </c>
      <c r="C22" s="3" t="s">
        <v>525</v>
      </c>
    </row>
    <row r="23" spans="1:3" s="3" customFormat="1" x14ac:dyDescent="0.25">
      <c r="A23" s="3" t="s">
        <v>519</v>
      </c>
      <c r="B23" s="3" t="s">
        <v>182</v>
      </c>
      <c r="C23" s="3" t="s">
        <v>526</v>
      </c>
    </row>
    <row r="24" spans="1:3" s="3" customFormat="1" x14ac:dyDescent="0.25">
      <c r="A24" s="3" t="s">
        <v>517</v>
      </c>
      <c r="B24" s="3" t="s">
        <v>188</v>
      </c>
      <c r="C24" s="3" t="s">
        <v>527</v>
      </c>
    </row>
    <row r="25" spans="1:3" s="3" customFormat="1" x14ac:dyDescent="0.25">
      <c r="A25" s="3" t="s">
        <v>519</v>
      </c>
      <c r="B25" s="3" t="s">
        <v>195</v>
      </c>
      <c r="C25" s="3" t="s">
        <v>528</v>
      </c>
    </row>
    <row r="26" spans="1:3" s="3" customFormat="1" x14ac:dyDescent="0.25">
      <c r="A26" s="3" t="s">
        <v>517</v>
      </c>
      <c r="B26" s="3" t="s">
        <v>202</v>
      </c>
      <c r="C26" s="3" t="s">
        <v>529</v>
      </c>
    </row>
    <row r="27" spans="1:3" s="3" customFormat="1" x14ac:dyDescent="0.25">
      <c r="A27" s="3" t="s">
        <v>519</v>
      </c>
      <c r="B27" s="3" t="s">
        <v>208</v>
      </c>
      <c r="C27" s="3" t="s">
        <v>530</v>
      </c>
    </row>
    <row r="28" spans="1:3" s="3" customFormat="1" x14ac:dyDescent="0.25">
      <c r="A28" s="3" t="s">
        <v>517</v>
      </c>
      <c r="B28" s="3" t="s">
        <v>214</v>
      </c>
      <c r="C28" s="3" t="s">
        <v>531</v>
      </c>
    </row>
    <row r="29" spans="1:3" s="3" customFormat="1" x14ac:dyDescent="0.25">
      <c r="A29" s="3" t="s">
        <v>519</v>
      </c>
      <c r="B29" s="3" t="s">
        <v>221</v>
      </c>
      <c r="C29" s="3" t="s">
        <v>532</v>
      </c>
    </row>
    <row r="30" spans="1:3" s="3" customFormat="1" x14ac:dyDescent="0.25">
      <c r="A30" s="3" t="s">
        <v>517</v>
      </c>
      <c r="B30" s="3" t="s">
        <v>228</v>
      </c>
      <c r="C30" s="3" t="s">
        <v>533</v>
      </c>
    </row>
    <row r="31" spans="1:3" s="3" customFormat="1" x14ac:dyDescent="0.25">
      <c r="A31" s="3" t="s">
        <v>519</v>
      </c>
      <c r="B31" s="3" t="s">
        <v>234</v>
      </c>
      <c r="C31" s="3" t="s">
        <v>534</v>
      </c>
    </row>
    <row r="32" spans="1:3" s="3" customFormat="1" x14ac:dyDescent="0.25">
      <c r="A32" s="3" t="s">
        <v>517</v>
      </c>
      <c r="B32" s="3" t="s">
        <v>240</v>
      </c>
      <c r="C32" s="3" t="s">
        <v>535</v>
      </c>
    </row>
    <row r="33" spans="1:3" s="3" customFormat="1" x14ac:dyDescent="0.25">
      <c r="A33" s="3" t="s">
        <v>519</v>
      </c>
      <c r="B33" s="3" t="s">
        <v>247</v>
      </c>
      <c r="C33" s="3" t="s">
        <v>536</v>
      </c>
    </row>
    <row r="34" spans="1:3" s="3" customFormat="1" x14ac:dyDescent="0.25">
      <c r="A34" s="3" t="s">
        <v>517</v>
      </c>
      <c r="B34" s="3" t="s">
        <v>254</v>
      </c>
      <c r="C34" s="3" t="s">
        <v>537</v>
      </c>
    </row>
    <row r="35" spans="1:3" s="3" customFormat="1" x14ac:dyDescent="0.25">
      <c r="A35" s="3" t="s">
        <v>519</v>
      </c>
      <c r="B35" s="3" t="s">
        <v>260</v>
      </c>
      <c r="C35" s="3" t="s">
        <v>538</v>
      </c>
    </row>
    <row r="36" spans="1:3" s="3" customFormat="1" x14ac:dyDescent="0.25">
      <c r="A36" s="3" t="s">
        <v>517</v>
      </c>
      <c r="B36" s="3" t="s">
        <v>266</v>
      </c>
      <c r="C36" s="3" t="s">
        <v>539</v>
      </c>
    </row>
    <row r="37" spans="1:3" s="3" customFormat="1" x14ac:dyDescent="0.25">
      <c r="A37" s="3" t="s">
        <v>519</v>
      </c>
      <c r="B37" s="3" t="s">
        <v>273</v>
      </c>
      <c r="C37" s="3" t="s">
        <v>540</v>
      </c>
    </row>
    <row r="38" spans="1:3" s="3" customFormat="1" x14ac:dyDescent="0.25">
      <c r="A38" s="3" t="s">
        <v>517</v>
      </c>
      <c r="B38" s="3" t="s">
        <v>280</v>
      </c>
      <c r="C38" s="3" t="s">
        <v>541</v>
      </c>
    </row>
    <row r="39" spans="1:3" s="3" customFormat="1" x14ac:dyDescent="0.25">
      <c r="A39" s="3" t="s">
        <v>519</v>
      </c>
      <c r="B39" s="3" t="s">
        <v>286</v>
      </c>
      <c r="C39" s="3" t="s">
        <v>542</v>
      </c>
    </row>
    <row r="40" spans="1:3" s="3" customFormat="1" x14ac:dyDescent="0.25">
      <c r="A40" s="3" t="s">
        <v>517</v>
      </c>
      <c r="B40" s="3" t="s">
        <v>292</v>
      </c>
      <c r="C40" s="3" t="s">
        <v>543</v>
      </c>
    </row>
    <row r="41" spans="1:3" s="3" customFormat="1" x14ac:dyDescent="0.25">
      <c r="A41" s="3" t="s">
        <v>519</v>
      </c>
      <c r="B41" s="3" t="s">
        <v>299</v>
      </c>
      <c r="C41" s="3" t="s">
        <v>544</v>
      </c>
    </row>
    <row r="42" spans="1:3" s="3" customFormat="1" x14ac:dyDescent="0.25">
      <c r="A42" s="3" t="s">
        <v>517</v>
      </c>
      <c r="B42" s="3" t="s">
        <v>306</v>
      </c>
      <c r="C42" s="3" t="s">
        <v>545</v>
      </c>
    </row>
    <row r="43" spans="1:3" s="3" customFormat="1" x14ac:dyDescent="0.25">
      <c r="A43" s="3" t="s">
        <v>519</v>
      </c>
      <c r="B43" s="3" t="s">
        <v>312</v>
      </c>
      <c r="C43" s="3" t="s">
        <v>546</v>
      </c>
    </row>
    <row r="44" spans="1:3" s="3" customFormat="1" x14ac:dyDescent="0.25">
      <c r="A44" s="3" t="s">
        <v>517</v>
      </c>
      <c r="B44" s="3" t="s">
        <v>318</v>
      </c>
      <c r="C44" s="3" t="s">
        <v>547</v>
      </c>
    </row>
    <row r="45" spans="1:3" s="3" customFormat="1" x14ac:dyDescent="0.25">
      <c r="A45" s="3" t="s">
        <v>519</v>
      </c>
      <c r="B45" s="3" t="s">
        <v>325</v>
      </c>
      <c r="C45" s="3" t="s">
        <v>548</v>
      </c>
    </row>
    <row r="46" spans="1:3" s="3" customFormat="1" x14ac:dyDescent="0.25">
      <c r="A46" s="3" t="s">
        <v>517</v>
      </c>
      <c r="B46" s="3" t="s">
        <v>332</v>
      </c>
      <c r="C46" s="3" t="s">
        <v>549</v>
      </c>
    </row>
    <row r="47" spans="1:3" s="3" customFormat="1" x14ac:dyDescent="0.25">
      <c r="A47" s="3" t="s">
        <v>519</v>
      </c>
      <c r="B47" s="3" t="s">
        <v>338</v>
      </c>
      <c r="C47" s="3" t="s">
        <v>550</v>
      </c>
    </row>
    <row r="48" spans="1:3" s="3" customFormat="1" x14ac:dyDescent="0.25">
      <c r="A48" s="3" t="s">
        <v>517</v>
      </c>
      <c r="B48" s="3" t="s">
        <v>344</v>
      </c>
      <c r="C48" s="3" t="s">
        <v>551</v>
      </c>
    </row>
    <row r="49" spans="1:3" s="3" customFormat="1" x14ac:dyDescent="0.25">
      <c r="A49" s="3" t="s">
        <v>519</v>
      </c>
      <c r="B49" s="3" t="s">
        <v>351</v>
      </c>
      <c r="C49" s="3" t="s">
        <v>552</v>
      </c>
    </row>
    <row r="50" spans="1:3" s="3" customFormat="1" x14ac:dyDescent="0.25">
      <c r="A50" s="3" t="s">
        <v>517</v>
      </c>
      <c r="B50" s="3" t="s">
        <v>358</v>
      </c>
      <c r="C50" s="3" t="s">
        <v>553</v>
      </c>
    </row>
    <row r="51" spans="1:3" s="3" customFormat="1" x14ac:dyDescent="0.25">
      <c r="A51" s="3" t="s">
        <v>519</v>
      </c>
      <c r="B51" s="3" t="s">
        <v>364</v>
      </c>
      <c r="C51" s="3" t="s">
        <v>554</v>
      </c>
    </row>
    <row r="52" spans="1:3" s="3" customFormat="1" x14ac:dyDescent="0.25">
      <c r="A52" s="3" t="s">
        <v>517</v>
      </c>
      <c r="B52" s="3" t="s">
        <v>370</v>
      </c>
      <c r="C52" s="3" t="s">
        <v>555</v>
      </c>
    </row>
    <row r="53" spans="1:3" s="3" customFormat="1" x14ac:dyDescent="0.25">
      <c r="A53" s="3" t="s">
        <v>519</v>
      </c>
      <c r="B53" s="3" t="s">
        <v>377</v>
      </c>
      <c r="C53" s="3" t="s">
        <v>556</v>
      </c>
    </row>
    <row r="54" spans="1:3" s="3" customFormat="1" x14ac:dyDescent="0.25">
      <c r="A54" s="3" t="s">
        <v>517</v>
      </c>
      <c r="B54" s="3" t="s">
        <v>384</v>
      </c>
      <c r="C54" s="3" t="s">
        <v>557</v>
      </c>
    </row>
    <row r="55" spans="1:3" s="3" customFormat="1" x14ac:dyDescent="0.25">
      <c r="A55" s="3" t="s">
        <v>519</v>
      </c>
      <c r="B55" s="3" t="s">
        <v>390</v>
      </c>
      <c r="C55" s="3" t="s">
        <v>558</v>
      </c>
    </row>
    <row r="56" spans="1:3" s="3" customFormat="1" x14ac:dyDescent="0.25">
      <c r="A56" s="3" t="s">
        <v>405</v>
      </c>
      <c r="B56" s="3" t="s">
        <v>407</v>
      </c>
      <c r="C56" s="3" t="s">
        <v>559</v>
      </c>
    </row>
    <row r="57" spans="1:3" s="3" customFormat="1" x14ac:dyDescent="0.25">
      <c r="A57" s="3" t="s">
        <v>405</v>
      </c>
      <c r="B57" s="3" t="s">
        <v>407</v>
      </c>
      <c r="C57" s="3" t="s">
        <v>560</v>
      </c>
    </row>
    <row r="58" spans="1:3" s="3" customFormat="1" x14ac:dyDescent="0.25">
      <c r="A58" s="3" t="s">
        <v>405</v>
      </c>
      <c r="B58" s="3" t="s">
        <v>407</v>
      </c>
      <c r="C58" s="3" t="s">
        <v>561</v>
      </c>
    </row>
    <row r="59" spans="1:3" s="3" customFormat="1" x14ac:dyDescent="0.25">
      <c r="A59" s="3" t="s">
        <v>405</v>
      </c>
      <c r="B59" s="3" t="s">
        <v>407</v>
      </c>
      <c r="C59" s="3" t="s">
        <v>562</v>
      </c>
    </row>
    <row r="60" spans="1:3" s="3" customFormat="1" x14ac:dyDescent="0.25">
      <c r="A60" s="3" t="s">
        <v>405</v>
      </c>
      <c r="B60" s="3" t="s">
        <v>407</v>
      </c>
      <c r="C60" s="3" t="s">
        <v>563</v>
      </c>
    </row>
    <row r="61" spans="1:3" s="3" customFormat="1" x14ac:dyDescent="0.25">
      <c r="A61" s="3" t="s">
        <v>405</v>
      </c>
      <c r="B61" s="3" t="s">
        <v>407</v>
      </c>
      <c r="C61" s="3" t="s">
        <v>564</v>
      </c>
    </row>
    <row r="62" spans="1:3" s="3" customFormat="1" x14ac:dyDescent="0.25">
      <c r="A62" s="3" t="s">
        <v>405</v>
      </c>
      <c r="B62" s="3" t="s">
        <v>407</v>
      </c>
      <c r="C62" s="3" t="s">
        <v>565</v>
      </c>
    </row>
    <row r="63" spans="1:3" s="3" customFormat="1" x14ac:dyDescent="0.25">
      <c r="A63" s="3" t="s">
        <v>405</v>
      </c>
      <c r="B63" s="3" t="s">
        <v>407</v>
      </c>
      <c r="C63" s="3" t="s">
        <v>566</v>
      </c>
    </row>
    <row r="64" spans="1:3" s="3" customFormat="1" x14ac:dyDescent="0.25">
      <c r="A64" s="3" t="s">
        <v>405</v>
      </c>
      <c r="B64" s="3" t="s">
        <v>407</v>
      </c>
      <c r="C64" s="3" t="s">
        <v>567</v>
      </c>
    </row>
    <row r="65" spans="1:3" s="3" customFormat="1" x14ac:dyDescent="0.25">
      <c r="A65" s="3" t="s">
        <v>405</v>
      </c>
      <c r="B65" s="3" t="s">
        <v>407</v>
      </c>
      <c r="C65" s="3" t="s">
        <v>568</v>
      </c>
    </row>
  </sheetData>
  <autoFilter ref="A1:C65"/>
  <pageMargins left="0.7" right="0.7" top="0.75" bottom="0.75" header="0.3" footer="0.3"/>
  <pageSetup orientation="landscape" horizontalDpi="4294967295" verticalDpi="4294967295" scale="100"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201"/>
  <sheetViews>
    <sheetView workbookViewId="0" rightToLeft="1">
      <pane ySplit="1" topLeftCell="A2" activePane="bottomLeft" state="frozen"/>
      <selection pane="bottomLeft"/>
    </sheetView>
  </sheetViews>
  <sheetFormatPr defaultRowHeight="15" outlineLevelRow="0" outlineLevelCol="0" x14ac:dyDescent="55"/>
  <cols>
    <col min="1" max="1" width="16" customWidth="1"/>
    <col min="2" max="2" width="18" customWidth="1"/>
    <col min="3" max="3" width="16" customWidth="1"/>
    <col min="4" max="4" width="42" customWidth="1"/>
    <col min="5" max="5" width="45" customWidth="1"/>
    <col min="6" max="6" width="16" customWidth="1"/>
    <col min="7" max="7" width="17" customWidth="1"/>
    <col min="8" max="10" width="16" customWidth="1"/>
    <col min="11" max="11" width="45" customWidth="1"/>
    <col min="12" max="12" width="21" customWidth="1"/>
    <col min="13" max="13" width="22" customWidth="1"/>
    <col min="14" max="14" width="21" customWidth="1"/>
    <col min="15" max="15" width="16" customWidth="1"/>
    <col min="16" max="16" width="18" customWidth="1"/>
    <col min="17" max="17" width="21" customWidth="1"/>
    <col min="18" max="18" width="16" customWidth="1"/>
    <col min="19" max="19" width="16" style="7" customWidth="1"/>
    <col min="20" max="20" width="17" customWidth="1"/>
    <col min="21" max="21" width="21" customWidth="1"/>
    <col min="22" max="22" width="19" customWidth="1"/>
    <col min="23" max="23" width="21" customWidth="1"/>
  </cols>
  <sheetData>
    <row r="1" ht="28" customHeight="1" spans="1:23" s="22" customFormat="1" x14ac:dyDescent="0.25">
      <c r="A1" s="22" t="s">
        <v>57</v>
      </c>
      <c r="B1" s="22" t="s">
        <v>394</v>
      </c>
      <c r="C1" s="22" t="s">
        <v>69</v>
      </c>
      <c r="D1" s="22" t="s">
        <v>67</v>
      </c>
      <c r="E1" s="22" t="s">
        <v>68</v>
      </c>
      <c r="F1" s="22" t="s">
        <v>470</v>
      </c>
      <c r="G1" s="22" t="s">
        <v>569</v>
      </c>
      <c r="H1" s="22" t="s">
        <v>570</v>
      </c>
      <c r="I1" s="22" t="s">
        <v>571</v>
      </c>
      <c r="J1" s="22" t="s">
        <v>572</v>
      </c>
      <c r="K1" s="22" t="s">
        <v>471</v>
      </c>
      <c r="L1" s="22" t="s">
        <v>573</v>
      </c>
      <c r="M1" s="22" t="s">
        <v>574</v>
      </c>
      <c r="N1" s="22" t="s">
        <v>575</v>
      </c>
      <c r="O1" s="22" t="s">
        <v>576</v>
      </c>
      <c r="P1" s="22" t="s">
        <v>577</v>
      </c>
      <c r="Q1" s="22" t="s">
        <v>578</v>
      </c>
      <c r="R1" s="22" t="s">
        <v>8</v>
      </c>
      <c r="S1" s="23" t="s">
        <v>476</v>
      </c>
      <c r="T1" s="22" t="s">
        <v>478</v>
      </c>
      <c r="U1" s="22" t="s">
        <v>579</v>
      </c>
      <c r="V1" s="22" t="s">
        <v>580</v>
      </c>
      <c r="W1" s="22" t="s">
        <v>581</v>
      </c>
    </row>
    <row r="2" spans="1:23" s="3" customFormat="1" x14ac:dyDescent="0.25">
      <c r="A2" s="3" t="s">
        <v>80</v>
      </c>
      <c r="B2" s="3" t="s">
        <v>506</v>
      </c>
      <c r="C2" s="3" t="s">
        <v>86</v>
      </c>
      <c r="D2" s="3" t="s">
        <v>84</v>
      </c>
      <c r="E2" s="3" t="s">
        <v>85</v>
      </c>
      <c r="F2" s="3" t="s">
        <v>582</v>
      </c>
      <c r="G2" s="3" t="s">
        <v>583</v>
      </c>
      <c r="H2" s="3" t="s">
        <v>16</v>
      </c>
      <c r="I2" s="3">
        <v>16</v>
      </c>
      <c r="J2" s="3" t="s">
        <v>502</v>
      </c>
      <c r="K2" s="4">
        <v>46218</v>
      </c>
      <c r="L2" s="3" t="s">
        <v>82</v>
      </c>
      <c r="M2" s="3" t="s">
        <v>82</v>
      </c>
      <c r="N2" s="3" t="s">
        <v>502</v>
      </c>
      <c r="O2" s="3" t="s">
        <v>502</v>
      </c>
      <c r="P2" s="3" t="s">
        <v>502</v>
      </c>
      <c r="Q2" s="3" t="s">
        <v>502</v>
      </c>
      <c r="R2" s="3" t="s">
        <v>9</v>
      </c>
      <c r="S2" s="20">
        <v>127</v>
      </c>
      <c r="T2" s="3" t="s">
        <v>88</v>
      </c>
      <c r="U2" s="3" t="s">
        <v>502</v>
      </c>
      <c r="V2" s="3" t="s">
        <v>502</v>
      </c>
      <c r="W2" s="3" t="s">
        <v>502</v>
      </c>
    </row>
    <row r="3" spans="1:23" s="3" customFormat="1" x14ac:dyDescent="0.25">
      <c r="A3" s="3" t="s">
        <v>80</v>
      </c>
      <c r="B3" s="3" t="s">
        <v>506</v>
      </c>
      <c r="C3" s="3" t="s">
        <v>86</v>
      </c>
      <c r="D3" s="3" t="s">
        <v>84</v>
      </c>
      <c r="E3" s="3" t="s">
        <v>85</v>
      </c>
      <c r="F3" s="3" t="s">
        <v>584</v>
      </c>
      <c r="G3" s="3" t="s">
        <v>585</v>
      </c>
      <c r="H3" s="3" t="s">
        <v>16</v>
      </c>
      <c r="I3" s="3">
        <v>16</v>
      </c>
      <c r="J3" s="3" t="s">
        <v>502</v>
      </c>
      <c r="K3" s="4">
        <v>46218</v>
      </c>
      <c r="L3" s="3" t="s">
        <v>82</v>
      </c>
      <c r="M3" s="3" t="s">
        <v>82</v>
      </c>
      <c r="N3" s="3" t="s">
        <v>502</v>
      </c>
      <c r="O3" s="3" t="s">
        <v>502</v>
      </c>
      <c r="P3" s="3" t="s">
        <v>502</v>
      </c>
      <c r="Q3" s="3" t="s">
        <v>502</v>
      </c>
      <c r="R3" s="3" t="s">
        <v>9</v>
      </c>
      <c r="S3" s="20">
        <v>127</v>
      </c>
      <c r="T3" s="3" t="s">
        <v>89</v>
      </c>
      <c r="U3" s="3" t="s">
        <v>502</v>
      </c>
      <c r="V3" s="3" t="s">
        <v>502</v>
      </c>
      <c r="W3" s="3" t="s">
        <v>502</v>
      </c>
    </row>
    <row r="4" spans="1:23" s="3" customFormat="1" x14ac:dyDescent="0.25">
      <c r="A4" s="3" t="s">
        <v>90</v>
      </c>
      <c r="B4" s="3" t="s">
        <v>506</v>
      </c>
      <c r="C4" s="3" t="s">
        <v>86</v>
      </c>
      <c r="D4" s="3" t="s">
        <v>84</v>
      </c>
      <c r="E4" s="3" t="s">
        <v>85</v>
      </c>
      <c r="F4" s="3" t="s">
        <v>582</v>
      </c>
      <c r="G4" s="3" t="s">
        <v>586</v>
      </c>
      <c r="H4" s="3" t="s">
        <v>16</v>
      </c>
      <c r="I4" s="3">
        <v>26</v>
      </c>
      <c r="J4" s="3" t="s">
        <v>502</v>
      </c>
      <c r="K4" s="4">
        <v>46218</v>
      </c>
      <c r="L4" s="3" t="s">
        <v>91</v>
      </c>
      <c r="M4" s="3" t="s">
        <v>91</v>
      </c>
      <c r="N4" s="3" t="s">
        <v>502</v>
      </c>
      <c r="O4" s="3" t="s">
        <v>502</v>
      </c>
      <c r="P4" s="3" t="s">
        <v>502</v>
      </c>
      <c r="Q4" s="3" t="s">
        <v>502</v>
      </c>
      <c r="R4" s="3" t="s">
        <v>9</v>
      </c>
      <c r="S4" s="20">
        <v>127</v>
      </c>
      <c r="T4" s="3" t="s">
        <v>92</v>
      </c>
      <c r="U4" s="3" t="s">
        <v>502</v>
      </c>
      <c r="V4" s="3" t="s">
        <v>502</v>
      </c>
      <c r="W4" s="3" t="s">
        <v>502</v>
      </c>
    </row>
    <row r="5" spans="1:23" s="3" customFormat="1" x14ac:dyDescent="0.25">
      <c r="A5" s="3" t="s">
        <v>90</v>
      </c>
      <c r="B5" s="3" t="s">
        <v>506</v>
      </c>
      <c r="C5" s="3" t="s">
        <v>86</v>
      </c>
      <c r="D5" s="3" t="s">
        <v>84</v>
      </c>
      <c r="E5" s="3" t="s">
        <v>85</v>
      </c>
      <c r="F5" s="3" t="s">
        <v>584</v>
      </c>
      <c r="G5" s="3" t="s">
        <v>587</v>
      </c>
      <c r="H5" s="3" t="s">
        <v>16</v>
      </c>
      <c r="I5" s="3">
        <v>26</v>
      </c>
      <c r="J5" s="3" t="s">
        <v>502</v>
      </c>
      <c r="K5" s="4">
        <v>46218</v>
      </c>
      <c r="L5" s="3" t="s">
        <v>91</v>
      </c>
      <c r="M5" s="3" t="s">
        <v>91</v>
      </c>
      <c r="N5" s="3" t="s">
        <v>502</v>
      </c>
      <c r="O5" s="3" t="s">
        <v>502</v>
      </c>
      <c r="P5" s="3" t="s">
        <v>502</v>
      </c>
      <c r="Q5" s="3" t="s">
        <v>502</v>
      </c>
      <c r="R5" s="3" t="s">
        <v>9</v>
      </c>
      <c r="S5" s="20">
        <v>127</v>
      </c>
      <c r="T5" s="3" t="s">
        <v>93</v>
      </c>
      <c r="U5" s="3" t="s">
        <v>502</v>
      </c>
      <c r="V5" s="3" t="s">
        <v>502</v>
      </c>
      <c r="W5" s="3" t="s">
        <v>502</v>
      </c>
    </row>
    <row r="6" spans="1:23" s="3" customFormat="1" x14ac:dyDescent="0.25">
      <c r="A6" s="3" t="s">
        <v>94</v>
      </c>
      <c r="B6" s="3" t="s">
        <v>506</v>
      </c>
      <c r="C6" s="3" t="s">
        <v>86</v>
      </c>
      <c r="D6" s="3" t="s">
        <v>84</v>
      </c>
      <c r="E6" s="3" t="s">
        <v>85</v>
      </c>
      <c r="F6" s="3" t="s">
        <v>582</v>
      </c>
      <c r="G6" s="3" t="s">
        <v>588</v>
      </c>
      <c r="H6" s="3" t="s">
        <v>16</v>
      </c>
      <c r="I6" s="3">
        <v>36</v>
      </c>
      <c r="J6" s="3" t="s">
        <v>502</v>
      </c>
      <c r="K6" s="4">
        <v>46218</v>
      </c>
      <c r="L6" s="3" t="s">
        <v>95</v>
      </c>
      <c r="M6" s="3" t="s">
        <v>95</v>
      </c>
      <c r="N6" s="3" t="s">
        <v>502</v>
      </c>
      <c r="O6" s="3" t="s">
        <v>502</v>
      </c>
      <c r="P6" s="3" t="s">
        <v>502</v>
      </c>
      <c r="Q6" s="3" t="s">
        <v>502</v>
      </c>
      <c r="R6" s="3" t="s">
        <v>9</v>
      </c>
      <c r="S6" s="20">
        <v>127</v>
      </c>
      <c r="T6" s="3" t="s">
        <v>96</v>
      </c>
      <c r="U6" s="3" t="s">
        <v>502</v>
      </c>
      <c r="V6" s="3" t="s">
        <v>502</v>
      </c>
      <c r="W6" s="3" t="s">
        <v>502</v>
      </c>
    </row>
    <row r="7" spans="1:23" s="3" customFormat="1" x14ac:dyDescent="0.25">
      <c r="A7" s="3" t="s">
        <v>94</v>
      </c>
      <c r="B7" s="3" t="s">
        <v>506</v>
      </c>
      <c r="C7" s="3" t="s">
        <v>86</v>
      </c>
      <c r="D7" s="3" t="s">
        <v>84</v>
      </c>
      <c r="E7" s="3" t="s">
        <v>85</v>
      </c>
      <c r="F7" s="3" t="s">
        <v>584</v>
      </c>
      <c r="G7" s="3" t="s">
        <v>589</v>
      </c>
      <c r="H7" s="3" t="s">
        <v>16</v>
      </c>
      <c r="I7" s="3">
        <v>36</v>
      </c>
      <c r="J7" s="3" t="s">
        <v>502</v>
      </c>
      <c r="K7" s="4">
        <v>46218</v>
      </c>
      <c r="L7" s="3" t="s">
        <v>95</v>
      </c>
      <c r="M7" s="3" t="s">
        <v>95</v>
      </c>
      <c r="N7" s="3" t="s">
        <v>502</v>
      </c>
      <c r="O7" s="3" t="s">
        <v>502</v>
      </c>
      <c r="P7" s="3" t="s">
        <v>502</v>
      </c>
      <c r="Q7" s="3" t="s">
        <v>502</v>
      </c>
      <c r="R7" s="3" t="s">
        <v>9</v>
      </c>
      <c r="S7" s="20">
        <v>127</v>
      </c>
      <c r="T7" s="3" t="s">
        <v>97</v>
      </c>
      <c r="U7" s="3" t="s">
        <v>502</v>
      </c>
      <c r="V7" s="3" t="s">
        <v>502</v>
      </c>
      <c r="W7" s="3" t="s">
        <v>502</v>
      </c>
    </row>
    <row r="8" spans="1:23" s="3" customFormat="1" x14ac:dyDescent="0.25">
      <c r="A8" s="3" t="s">
        <v>98</v>
      </c>
      <c r="B8" s="3" t="s">
        <v>506</v>
      </c>
      <c r="C8" s="3" t="s">
        <v>86</v>
      </c>
      <c r="D8" s="3" t="s">
        <v>84</v>
      </c>
      <c r="E8" s="3" t="s">
        <v>85</v>
      </c>
      <c r="F8" s="3" t="s">
        <v>582</v>
      </c>
      <c r="G8" s="3" t="s">
        <v>590</v>
      </c>
      <c r="H8" s="3" t="s">
        <v>16</v>
      </c>
      <c r="I8" s="3">
        <v>46</v>
      </c>
      <c r="J8" s="3" t="s">
        <v>502</v>
      </c>
      <c r="K8" s="4">
        <v>46218</v>
      </c>
      <c r="L8" s="3" t="s">
        <v>99</v>
      </c>
      <c r="M8" s="3" t="s">
        <v>99</v>
      </c>
      <c r="N8" s="3" t="s">
        <v>502</v>
      </c>
      <c r="O8" s="3" t="s">
        <v>502</v>
      </c>
      <c r="P8" s="3" t="s">
        <v>502</v>
      </c>
      <c r="Q8" s="3" t="s">
        <v>502</v>
      </c>
      <c r="R8" s="3" t="s">
        <v>9</v>
      </c>
      <c r="S8" s="20">
        <v>127</v>
      </c>
      <c r="T8" s="3" t="s">
        <v>100</v>
      </c>
      <c r="U8" s="3" t="s">
        <v>502</v>
      </c>
      <c r="V8" s="3" t="s">
        <v>502</v>
      </c>
      <c r="W8" s="3" t="s">
        <v>502</v>
      </c>
    </row>
    <row r="9" spans="1:23" s="3" customFormat="1" x14ac:dyDescent="0.25">
      <c r="A9" s="3" t="s">
        <v>98</v>
      </c>
      <c r="B9" s="3" t="s">
        <v>506</v>
      </c>
      <c r="C9" s="3" t="s">
        <v>86</v>
      </c>
      <c r="D9" s="3" t="s">
        <v>84</v>
      </c>
      <c r="E9" s="3" t="s">
        <v>85</v>
      </c>
      <c r="F9" s="3" t="s">
        <v>584</v>
      </c>
      <c r="G9" s="3" t="s">
        <v>591</v>
      </c>
      <c r="H9" s="3" t="s">
        <v>16</v>
      </c>
      <c r="I9" s="3">
        <v>46</v>
      </c>
      <c r="J9" s="3" t="s">
        <v>502</v>
      </c>
      <c r="K9" s="4">
        <v>46218</v>
      </c>
      <c r="L9" s="3" t="s">
        <v>99</v>
      </c>
      <c r="M9" s="3" t="s">
        <v>99</v>
      </c>
      <c r="N9" s="3" t="s">
        <v>502</v>
      </c>
      <c r="O9" s="3" t="s">
        <v>502</v>
      </c>
      <c r="P9" s="3" t="s">
        <v>502</v>
      </c>
      <c r="Q9" s="3" t="s">
        <v>502</v>
      </c>
      <c r="R9" s="3" t="s">
        <v>9</v>
      </c>
      <c r="S9" s="20">
        <v>127</v>
      </c>
      <c r="T9" s="3" t="s">
        <v>101</v>
      </c>
      <c r="U9" s="3" t="s">
        <v>502</v>
      </c>
      <c r="V9" s="3" t="s">
        <v>502</v>
      </c>
      <c r="W9" s="3" t="s">
        <v>502</v>
      </c>
    </row>
    <row r="10" spans="1:23" s="3" customFormat="1" x14ac:dyDescent="0.25">
      <c r="A10" s="3" t="s">
        <v>102</v>
      </c>
      <c r="B10" s="3" t="s">
        <v>506</v>
      </c>
      <c r="C10" s="3" t="s">
        <v>86</v>
      </c>
      <c r="D10" s="3" t="s">
        <v>84</v>
      </c>
      <c r="E10" s="3" t="s">
        <v>85</v>
      </c>
      <c r="F10" s="3" t="s">
        <v>582</v>
      </c>
      <c r="G10" s="3" t="s">
        <v>592</v>
      </c>
      <c r="H10" s="3" t="s">
        <v>16</v>
      </c>
      <c r="I10" s="3">
        <v>56</v>
      </c>
      <c r="J10" s="3" t="s">
        <v>502</v>
      </c>
      <c r="K10" s="4">
        <v>46218</v>
      </c>
      <c r="L10" s="3" t="s">
        <v>103</v>
      </c>
      <c r="M10" s="3" t="s">
        <v>103</v>
      </c>
      <c r="N10" s="3" t="s">
        <v>502</v>
      </c>
      <c r="O10" s="3" t="s">
        <v>502</v>
      </c>
      <c r="P10" s="3" t="s">
        <v>502</v>
      </c>
      <c r="Q10" s="3" t="s">
        <v>502</v>
      </c>
      <c r="R10" s="3" t="s">
        <v>9</v>
      </c>
      <c r="S10" s="20">
        <v>127</v>
      </c>
      <c r="T10" s="3" t="s">
        <v>104</v>
      </c>
      <c r="U10" s="3" t="s">
        <v>502</v>
      </c>
      <c r="V10" s="3" t="s">
        <v>502</v>
      </c>
      <c r="W10" s="3" t="s">
        <v>502</v>
      </c>
    </row>
    <row r="11" spans="1:23" s="3" customFormat="1" x14ac:dyDescent="0.25">
      <c r="A11" s="3" t="s">
        <v>102</v>
      </c>
      <c r="B11" s="3" t="s">
        <v>506</v>
      </c>
      <c r="C11" s="3" t="s">
        <v>86</v>
      </c>
      <c r="D11" s="3" t="s">
        <v>84</v>
      </c>
      <c r="E11" s="3" t="s">
        <v>85</v>
      </c>
      <c r="F11" s="3" t="s">
        <v>584</v>
      </c>
      <c r="G11" s="3" t="s">
        <v>593</v>
      </c>
      <c r="H11" s="3" t="s">
        <v>16</v>
      </c>
      <c r="I11" s="3">
        <v>56</v>
      </c>
      <c r="J11" s="3" t="s">
        <v>502</v>
      </c>
      <c r="K11" s="4">
        <v>46218</v>
      </c>
      <c r="L11" s="3" t="s">
        <v>103</v>
      </c>
      <c r="M11" s="3" t="s">
        <v>103</v>
      </c>
      <c r="N11" s="3" t="s">
        <v>502</v>
      </c>
      <c r="O11" s="3" t="s">
        <v>502</v>
      </c>
      <c r="P11" s="3" t="s">
        <v>502</v>
      </c>
      <c r="Q11" s="3" t="s">
        <v>502</v>
      </c>
      <c r="R11" s="3" t="s">
        <v>9</v>
      </c>
      <c r="S11" s="20">
        <v>127</v>
      </c>
      <c r="T11" s="3" t="s">
        <v>105</v>
      </c>
      <c r="U11" s="3" t="s">
        <v>502</v>
      </c>
      <c r="V11" s="3" t="s">
        <v>502</v>
      </c>
      <c r="W11" s="3" t="s">
        <v>502</v>
      </c>
    </row>
    <row r="12" spans="1:23" s="3" customFormat="1" x14ac:dyDescent="0.25">
      <c r="A12" s="3" t="s">
        <v>106</v>
      </c>
      <c r="B12" s="3" t="s">
        <v>506</v>
      </c>
      <c r="C12" s="3" t="s">
        <v>86</v>
      </c>
      <c r="D12" s="3" t="s">
        <v>84</v>
      </c>
      <c r="E12" s="3" t="s">
        <v>85</v>
      </c>
      <c r="F12" s="3" t="s">
        <v>582</v>
      </c>
      <c r="G12" s="3" t="s">
        <v>594</v>
      </c>
      <c r="H12" s="3" t="s">
        <v>16</v>
      </c>
      <c r="I12" s="3">
        <v>66</v>
      </c>
      <c r="J12" s="3" t="s">
        <v>502</v>
      </c>
      <c r="K12" s="4">
        <v>46218</v>
      </c>
      <c r="L12" s="3" t="s">
        <v>107</v>
      </c>
      <c r="M12" s="3" t="s">
        <v>107</v>
      </c>
      <c r="N12" s="3" t="s">
        <v>502</v>
      </c>
      <c r="O12" s="3" t="s">
        <v>502</v>
      </c>
      <c r="P12" s="3" t="s">
        <v>502</v>
      </c>
      <c r="Q12" s="3" t="s">
        <v>502</v>
      </c>
      <c r="R12" s="3" t="s">
        <v>9</v>
      </c>
      <c r="S12" s="20">
        <v>127</v>
      </c>
      <c r="T12" s="3" t="s">
        <v>108</v>
      </c>
      <c r="U12" s="3" t="s">
        <v>502</v>
      </c>
      <c r="V12" s="3" t="s">
        <v>502</v>
      </c>
      <c r="W12" s="3" t="s">
        <v>502</v>
      </c>
    </row>
    <row r="13" spans="1:23" s="3" customFormat="1" x14ac:dyDescent="0.25">
      <c r="A13" s="3" t="s">
        <v>106</v>
      </c>
      <c r="B13" s="3" t="s">
        <v>506</v>
      </c>
      <c r="C13" s="3" t="s">
        <v>86</v>
      </c>
      <c r="D13" s="3" t="s">
        <v>84</v>
      </c>
      <c r="E13" s="3" t="s">
        <v>85</v>
      </c>
      <c r="F13" s="3" t="s">
        <v>584</v>
      </c>
      <c r="G13" s="3" t="s">
        <v>595</v>
      </c>
      <c r="H13" s="3" t="s">
        <v>16</v>
      </c>
      <c r="I13" s="3">
        <v>66</v>
      </c>
      <c r="J13" s="3" t="s">
        <v>502</v>
      </c>
      <c r="K13" s="4">
        <v>46218</v>
      </c>
      <c r="L13" s="3" t="s">
        <v>107</v>
      </c>
      <c r="M13" s="3" t="s">
        <v>107</v>
      </c>
      <c r="N13" s="3" t="s">
        <v>502</v>
      </c>
      <c r="O13" s="3" t="s">
        <v>502</v>
      </c>
      <c r="P13" s="3" t="s">
        <v>502</v>
      </c>
      <c r="Q13" s="3" t="s">
        <v>502</v>
      </c>
      <c r="R13" s="3" t="s">
        <v>9</v>
      </c>
      <c r="S13" s="20">
        <v>127</v>
      </c>
      <c r="T13" s="3" t="s">
        <v>109</v>
      </c>
      <c r="U13" s="3" t="s">
        <v>502</v>
      </c>
      <c r="V13" s="3" t="s">
        <v>502</v>
      </c>
      <c r="W13" s="3" t="s">
        <v>502</v>
      </c>
    </row>
    <row r="14" spans="1:23" s="3" customFormat="1" x14ac:dyDescent="0.25">
      <c r="A14" s="3" t="s">
        <v>110</v>
      </c>
      <c r="B14" s="3" t="s">
        <v>506</v>
      </c>
      <c r="C14" s="3" t="s">
        <v>86</v>
      </c>
      <c r="D14" s="3" t="s">
        <v>84</v>
      </c>
      <c r="E14" s="3" t="s">
        <v>85</v>
      </c>
      <c r="F14" s="3" t="s">
        <v>582</v>
      </c>
      <c r="G14" s="3" t="s">
        <v>596</v>
      </c>
      <c r="H14" s="3" t="s">
        <v>16</v>
      </c>
      <c r="I14" s="3">
        <v>76</v>
      </c>
      <c r="J14" s="3" t="s">
        <v>502</v>
      </c>
      <c r="K14" s="4">
        <v>46218</v>
      </c>
      <c r="L14" s="3" t="s">
        <v>111</v>
      </c>
      <c r="M14" s="3" t="s">
        <v>111</v>
      </c>
      <c r="N14" s="3" t="s">
        <v>502</v>
      </c>
      <c r="O14" s="3" t="s">
        <v>502</v>
      </c>
      <c r="P14" s="3" t="s">
        <v>502</v>
      </c>
      <c r="Q14" s="3" t="s">
        <v>502</v>
      </c>
      <c r="R14" s="3" t="s">
        <v>9</v>
      </c>
      <c r="S14" s="20">
        <v>127</v>
      </c>
      <c r="T14" s="3" t="s">
        <v>112</v>
      </c>
      <c r="U14" s="3" t="s">
        <v>502</v>
      </c>
      <c r="V14" s="3" t="s">
        <v>502</v>
      </c>
      <c r="W14" s="3" t="s">
        <v>502</v>
      </c>
    </row>
    <row r="15" spans="1:23" s="3" customFormat="1" x14ac:dyDescent="0.25">
      <c r="A15" s="3" t="s">
        <v>110</v>
      </c>
      <c r="B15" s="3" t="s">
        <v>506</v>
      </c>
      <c r="C15" s="3" t="s">
        <v>86</v>
      </c>
      <c r="D15" s="3" t="s">
        <v>84</v>
      </c>
      <c r="E15" s="3" t="s">
        <v>85</v>
      </c>
      <c r="F15" s="3" t="s">
        <v>584</v>
      </c>
      <c r="G15" s="3" t="s">
        <v>597</v>
      </c>
      <c r="H15" s="3" t="s">
        <v>16</v>
      </c>
      <c r="I15" s="3">
        <v>76</v>
      </c>
      <c r="J15" s="3" t="s">
        <v>502</v>
      </c>
      <c r="K15" s="4">
        <v>46218</v>
      </c>
      <c r="L15" s="3" t="s">
        <v>111</v>
      </c>
      <c r="M15" s="3" t="s">
        <v>111</v>
      </c>
      <c r="N15" s="3" t="s">
        <v>502</v>
      </c>
      <c r="O15" s="3" t="s">
        <v>502</v>
      </c>
      <c r="P15" s="3" t="s">
        <v>502</v>
      </c>
      <c r="Q15" s="3" t="s">
        <v>502</v>
      </c>
      <c r="R15" s="3" t="s">
        <v>9</v>
      </c>
      <c r="S15" s="20">
        <v>127</v>
      </c>
      <c r="T15" s="3" t="s">
        <v>113</v>
      </c>
      <c r="U15" s="3" t="s">
        <v>502</v>
      </c>
      <c r="V15" s="3" t="s">
        <v>502</v>
      </c>
      <c r="W15" s="3" t="s">
        <v>502</v>
      </c>
    </row>
    <row r="16" spans="1:23" s="3" customFormat="1" x14ac:dyDescent="0.25">
      <c r="A16" s="3" t="s">
        <v>114</v>
      </c>
      <c r="B16" s="3" t="s">
        <v>506</v>
      </c>
      <c r="C16" s="3" t="s">
        <v>86</v>
      </c>
      <c r="D16" s="3" t="s">
        <v>84</v>
      </c>
      <c r="E16" s="3" t="s">
        <v>85</v>
      </c>
      <c r="F16" s="3" t="s">
        <v>582</v>
      </c>
      <c r="G16" s="3" t="s">
        <v>598</v>
      </c>
      <c r="H16" s="3" t="s">
        <v>16</v>
      </c>
      <c r="I16" s="3">
        <v>86</v>
      </c>
      <c r="J16" s="3" t="s">
        <v>502</v>
      </c>
      <c r="K16" s="4">
        <v>46218</v>
      </c>
      <c r="L16" s="3" t="s">
        <v>115</v>
      </c>
      <c r="M16" s="3" t="s">
        <v>115</v>
      </c>
      <c r="N16" s="3" t="s">
        <v>502</v>
      </c>
      <c r="O16" s="3" t="s">
        <v>502</v>
      </c>
      <c r="P16" s="3" t="s">
        <v>502</v>
      </c>
      <c r="Q16" s="3" t="s">
        <v>502</v>
      </c>
      <c r="R16" s="3" t="s">
        <v>9</v>
      </c>
      <c r="S16" s="20">
        <v>127</v>
      </c>
      <c r="T16" s="3" t="s">
        <v>116</v>
      </c>
      <c r="U16" s="3" t="s">
        <v>502</v>
      </c>
      <c r="V16" s="3" t="s">
        <v>502</v>
      </c>
      <c r="W16" s="3" t="s">
        <v>502</v>
      </c>
    </row>
    <row r="17" spans="1:23" s="3" customFormat="1" x14ac:dyDescent="0.25">
      <c r="A17" s="3" t="s">
        <v>114</v>
      </c>
      <c r="B17" s="3" t="s">
        <v>506</v>
      </c>
      <c r="C17" s="3" t="s">
        <v>86</v>
      </c>
      <c r="D17" s="3" t="s">
        <v>84</v>
      </c>
      <c r="E17" s="3" t="s">
        <v>85</v>
      </c>
      <c r="F17" s="3" t="s">
        <v>584</v>
      </c>
      <c r="G17" s="3" t="s">
        <v>599</v>
      </c>
      <c r="H17" s="3" t="s">
        <v>16</v>
      </c>
      <c r="I17" s="3">
        <v>86</v>
      </c>
      <c r="J17" s="3" t="s">
        <v>502</v>
      </c>
      <c r="K17" s="4">
        <v>46218</v>
      </c>
      <c r="L17" s="3" t="s">
        <v>115</v>
      </c>
      <c r="M17" s="3" t="s">
        <v>115</v>
      </c>
      <c r="N17" s="3" t="s">
        <v>502</v>
      </c>
      <c r="O17" s="3" t="s">
        <v>502</v>
      </c>
      <c r="P17" s="3" t="s">
        <v>502</v>
      </c>
      <c r="Q17" s="3" t="s">
        <v>502</v>
      </c>
      <c r="R17" s="3" t="s">
        <v>9</v>
      </c>
      <c r="S17" s="20">
        <v>127</v>
      </c>
      <c r="T17" s="3" t="s">
        <v>117</v>
      </c>
      <c r="U17" s="3" t="s">
        <v>502</v>
      </c>
      <c r="V17" s="3" t="s">
        <v>502</v>
      </c>
      <c r="W17" s="3" t="s">
        <v>502</v>
      </c>
    </row>
    <row r="18" spans="1:23" s="3" customFormat="1" x14ac:dyDescent="0.25">
      <c r="A18" s="3" t="s">
        <v>118</v>
      </c>
      <c r="B18" s="3" t="s">
        <v>506</v>
      </c>
      <c r="C18" s="3" t="s">
        <v>86</v>
      </c>
      <c r="D18" s="3" t="s">
        <v>84</v>
      </c>
      <c r="E18" s="3" t="s">
        <v>85</v>
      </c>
      <c r="F18" s="3" t="s">
        <v>582</v>
      </c>
      <c r="G18" s="3" t="s">
        <v>600</v>
      </c>
      <c r="H18" s="3" t="s">
        <v>16</v>
      </c>
      <c r="I18" s="3">
        <v>96</v>
      </c>
      <c r="J18" s="3" t="s">
        <v>502</v>
      </c>
      <c r="K18" s="4">
        <v>46218</v>
      </c>
      <c r="L18" s="3" t="s">
        <v>119</v>
      </c>
      <c r="M18" s="3" t="s">
        <v>119</v>
      </c>
      <c r="N18" s="3" t="s">
        <v>502</v>
      </c>
      <c r="O18" s="3" t="s">
        <v>502</v>
      </c>
      <c r="P18" s="3" t="s">
        <v>502</v>
      </c>
      <c r="Q18" s="3" t="s">
        <v>502</v>
      </c>
      <c r="R18" s="3" t="s">
        <v>9</v>
      </c>
      <c r="S18" s="20">
        <v>127</v>
      </c>
      <c r="T18" s="3" t="s">
        <v>120</v>
      </c>
      <c r="U18" s="3" t="s">
        <v>502</v>
      </c>
      <c r="V18" s="3" t="s">
        <v>502</v>
      </c>
      <c r="W18" s="3" t="s">
        <v>502</v>
      </c>
    </row>
    <row r="19" spans="1:23" s="3" customFormat="1" x14ac:dyDescent="0.25">
      <c r="A19" s="3" t="s">
        <v>118</v>
      </c>
      <c r="B19" s="3" t="s">
        <v>506</v>
      </c>
      <c r="C19" s="3" t="s">
        <v>86</v>
      </c>
      <c r="D19" s="3" t="s">
        <v>84</v>
      </c>
      <c r="E19" s="3" t="s">
        <v>85</v>
      </c>
      <c r="F19" s="3" t="s">
        <v>584</v>
      </c>
      <c r="G19" s="3" t="s">
        <v>601</v>
      </c>
      <c r="H19" s="3" t="s">
        <v>16</v>
      </c>
      <c r="I19" s="3">
        <v>96</v>
      </c>
      <c r="J19" s="3" t="s">
        <v>502</v>
      </c>
      <c r="K19" s="4">
        <v>46218</v>
      </c>
      <c r="L19" s="3" t="s">
        <v>119</v>
      </c>
      <c r="M19" s="3" t="s">
        <v>119</v>
      </c>
      <c r="N19" s="3" t="s">
        <v>502</v>
      </c>
      <c r="O19" s="3" t="s">
        <v>502</v>
      </c>
      <c r="P19" s="3" t="s">
        <v>502</v>
      </c>
      <c r="Q19" s="3" t="s">
        <v>502</v>
      </c>
      <c r="R19" s="3" t="s">
        <v>9</v>
      </c>
      <c r="S19" s="20">
        <v>127</v>
      </c>
      <c r="T19" s="3" t="s">
        <v>121</v>
      </c>
      <c r="U19" s="3" t="s">
        <v>502</v>
      </c>
      <c r="V19" s="3" t="s">
        <v>502</v>
      </c>
      <c r="W19" s="3" t="s">
        <v>502</v>
      </c>
    </row>
    <row r="20" spans="1:23" s="3" customFormat="1" x14ac:dyDescent="0.25">
      <c r="A20" s="3" t="s">
        <v>122</v>
      </c>
      <c r="B20" s="3" t="s">
        <v>506</v>
      </c>
      <c r="C20" s="3" t="s">
        <v>86</v>
      </c>
      <c r="D20" s="3" t="s">
        <v>84</v>
      </c>
      <c r="E20" s="3" t="s">
        <v>85</v>
      </c>
      <c r="F20" s="3" t="s">
        <v>582</v>
      </c>
      <c r="G20" s="3" t="s">
        <v>602</v>
      </c>
      <c r="H20" s="3" t="s">
        <v>16</v>
      </c>
      <c r="I20" s="3">
        <v>106</v>
      </c>
      <c r="J20" s="3" t="s">
        <v>502</v>
      </c>
      <c r="K20" s="4">
        <v>46218</v>
      </c>
      <c r="L20" s="3" t="s">
        <v>123</v>
      </c>
      <c r="M20" s="3" t="s">
        <v>123</v>
      </c>
      <c r="N20" s="3" t="s">
        <v>502</v>
      </c>
      <c r="O20" s="3" t="s">
        <v>502</v>
      </c>
      <c r="P20" s="3" t="s">
        <v>502</v>
      </c>
      <c r="Q20" s="3" t="s">
        <v>502</v>
      </c>
      <c r="R20" s="3" t="s">
        <v>9</v>
      </c>
      <c r="S20" s="20">
        <v>127</v>
      </c>
      <c r="T20" s="3" t="s">
        <v>124</v>
      </c>
      <c r="U20" s="3" t="s">
        <v>502</v>
      </c>
      <c r="V20" s="3" t="s">
        <v>502</v>
      </c>
      <c r="W20" s="3" t="s">
        <v>502</v>
      </c>
    </row>
    <row r="21" spans="1:23" s="3" customFormat="1" x14ac:dyDescent="0.25">
      <c r="A21" s="3" t="s">
        <v>122</v>
      </c>
      <c r="B21" s="3" t="s">
        <v>506</v>
      </c>
      <c r="C21" s="3" t="s">
        <v>86</v>
      </c>
      <c r="D21" s="3" t="s">
        <v>84</v>
      </c>
      <c r="E21" s="3" t="s">
        <v>85</v>
      </c>
      <c r="F21" s="3" t="s">
        <v>584</v>
      </c>
      <c r="G21" s="3" t="s">
        <v>603</v>
      </c>
      <c r="H21" s="3" t="s">
        <v>16</v>
      </c>
      <c r="I21" s="3">
        <v>106</v>
      </c>
      <c r="J21" s="3" t="s">
        <v>502</v>
      </c>
      <c r="K21" s="4">
        <v>46218</v>
      </c>
      <c r="L21" s="3" t="s">
        <v>123</v>
      </c>
      <c r="M21" s="3" t="s">
        <v>123</v>
      </c>
      <c r="N21" s="3" t="s">
        <v>502</v>
      </c>
      <c r="O21" s="3" t="s">
        <v>502</v>
      </c>
      <c r="P21" s="3" t="s">
        <v>502</v>
      </c>
      <c r="Q21" s="3" t="s">
        <v>502</v>
      </c>
      <c r="R21" s="3" t="s">
        <v>9</v>
      </c>
      <c r="S21" s="20">
        <v>127</v>
      </c>
      <c r="T21" s="3" t="s">
        <v>125</v>
      </c>
      <c r="U21" s="3" t="s">
        <v>502</v>
      </c>
      <c r="V21" s="3" t="s">
        <v>502</v>
      </c>
      <c r="W21" s="3" t="s">
        <v>502</v>
      </c>
    </row>
    <row r="22" spans="1:23" s="3" customFormat="1" x14ac:dyDescent="0.25">
      <c r="A22" s="3" t="s">
        <v>126</v>
      </c>
      <c r="B22" s="3" t="s">
        <v>517</v>
      </c>
      <c r="C22" s="3" t="s">
        <v>86</v>
      </c>
      <c r="D22" s="3" t="s">
        <v>130</v>
      </c>
      <c r="E22" s="3" t="s">
        <v>131</v>
      </c>
      <c r="F22" s="3" t="s">
        <v>582</v>
      </c>
      <c r="G22" s="3" t="s">
        <v>604</v>
      </c>
      <c r="H22" s="3" t="s">
        <v>16</v>
      </c>
      <c r="I22" s="3">
        <v>7</v>
      </c>
      <c r="J22" s="3" t="s">
        <v>502</v>
      </c>
      <c r="K22" s="4">
        <v>46218</v>
      </c>
      <c r="L22" s="3" t="s">
        <v>128</v>
      </c>
      <c r="M22" s="3" t="s">
        <v>128</v>
      </c>
      <c r="N22" s="3" t="s">
        <v>605</v>
      </c>
      <c r="O22" s="3" t="s">
        <v>606</v>
      </c>
      <c r="P22" s="3" t="s">
        <v>502</v>
      </c>
      <c r="Q22" s="3" t="s">
        <v>502</v>
      </c>
      <c r="R22" s="3" t="s">
        <v>9</v>
      </c>
      <c r="S22" s="20">
        <v>6750</v>
      </c>
      <c r="T22" s="3" t="s">
        <v>132</v>
      </c>
      <c r="U22" s="3" t="s">
        <v>502</v>
      </c>
      <c r="V22" s="3" t="s">
        <v>502</v>
      </c>
      <c r="W22" s="3" t="s">
        <v>502</v>
      </c>
    </row>
    <row r="23" spans="1:23" s="3" customFormat="1" x14ac:dyDescent="0.25">
      <c r="A23" s="3" t="s">
        <v>126</v>
      </c>
      <c r="B23" s="3" t="s">
        <v>517</v>
      </c>
      <c r="C23" s="3" t="s">
        <v>86</v>
      </c>
      <c r="D23" s="3" t="s">
        <v>130</v>
      </c>
      <c r="E23" s="3" t="s">
        <v>131</v>
      </c>
      <c r="F23" s="3" t="s">
        <v>584</v>
      </c>
      <c r="G23" s="3" t="s">
        <v>607</v>
      </c>
      <c r="H23" s="3" t="s">
        <v>16</v>
      </c>
      <c r="I23" s="3">
        <v>7</v>
      </c>
      <c r="J23" s="3" t="s">
        <v>502</v>
      </c>
      <c r="K23" s="4">
        <v>46218</v>
      </c>
      <c r="L23" s="3" t="s">
        <v>128</v>
      </c>
      <c r="M23" s="3" t="s">
        <v>128</v>
      </c>
      <c r="N23" s="3" t="s">
        <v>605</v>
      </c>
      <c r="O23" s="3" t="s">
        <v>606</v>
      </c>
      <c r="P23" s="3" t="s">
        <v>502</v>
      </c>
      <c r="Q23" s="3" t="s">
        <v>502</v>
      </c>
      <c r="R23" s="3" t="s">
        <v>9</v>
      </c>
      <c r="S23" s="20">
        <v>2500</v>
      </c>
      <c r="T23" s="3" t="s">
        <v>133</v>
      </c>
      <c r="U23" s="3" t="s">
        <v>502</v>
      </c>
      <c r="V23" s="3" t="s">
        <v>502</v>
      </c>
      <c r="W23" s="3" t="s">
        <v>502</v>
      </c>
    </row>
    <row r="24" spans="1:23" s="3" customFormat="1" x14ac:dyDescent="0.25">
      <c r="A24" s="3" t="s">
        <v>126</v>
      </c>
      <c r="B24" s="3" t="s">
        <v>517</v>
      </c>
      <c r="C24" s="3" t="s">
        <v>86</v>
      </c>
      <c r="D24" s="3" t="s">
        <v>130</v>
      </c>
      <c r="E24" s="3" t="s">
        <v>131</v>
      </c>
      <c r="F24" s="3" t="s">
        <v>584</v>
      </c>
      <c r="G24" s="3" t="s">
        <v>608</v>
      </c>
      <c r="H24" s="3" t="s">
        <v>16</v>
      </c>
      <c r="I24" s="3">
        <v>8</v>
      </c>
      <c r="J24" s="3" t="s">
        <v>502</v>
      </c>
      <c r="K24" s="4">
        <v>46218</v>
      </c>
      <c r="L24" s="3" t="s">
        <v>128</v>
      </c>
      <c r="M24" s="3" t="s">
        <v>128</v>
      </c>
      <c r="N24" s="3" t="s">
        <v>605</v>
      </c>
      <c r="O24" s="3" t="s">
        <v>606</v>
      </c>
      <c r="P24" s="3" t="s">
        <v>502</v>
      </c>
      <c r="Q24" s="3" t="s">
        <v>502</v>
      </c>
      <c r="R24" s="3" t="s">
        <v>9</v>
      </c>
      <c r="S24" s="20">
        <v>2250</v>
      </c>
      <c r="T24" s="3" t="s">
        <v>134</v>
      </c>
      <c r="U24" s="3" t="s">
        <v>502</v>
      </c>
      <c r="V24" s="3" t="s">
        <v>502</v>
      </c>
      <c r="W24" s="3" t="s">
        <v>502</v>
      </c>
    </row>
    <row r="25" spans="1:23" s="3" customFormat="1" x14ac:dyDescent="0.25">
      <c r="A25" s="3" t="s">
        <v>126</v>
      </c>
      <c r="B25" s="3" t="s">
        <v>517</v>
      </c>
      <c r="C25" s="3" t="s">
        <v>86</v>
      </c>
      <c r="D25" s="3" t="s">
        <v>130</v>
      </c>
      <c r="E25" s="3" t="s">
        <v>131</v>
      </c>
      <c r="F25" s="3" t="s">
        <v>584</v>
      </c>
      <c r="G25" s="3" t="s">
        <v>609</v>
      </c>
      <c r="H25" s="3" t="s">
        <v>16</v>
      </c>
      <c r="I25" s="3">
        <v>9</v>
      </c>
      <c r="J25" s="3" t="s">
        <v>502</v>
      </c>
      <c r="K25" s="4">
        <v>46218</v>
      </c>
      <c r="L25" s="3" t="s">
        <v>128</v>
      </c>
      <c r="M25" s="3" t="s">
        <v>128</v>
      </c>
      <c r="N25" s="3" t="s">
        <v>605</v>
      </c>
      <c r="O25" s="3" t="s">
        <v>606</v>
      </c>
      <c r="P25" s="3" t="s">
        <v>502</v>
      </c>
      <c r="Q25" s="3" t="s">
        <v>502</v>
      </c>
      <c r="R25" s="3" t="s">
        <v>9</v>
      </c>
      <c r="S25" s="20">
        <v>2000</v>
      </c>
      <c r="T25" s="3" t="s">
        <v>135</v>
      </c>
      <c r="U25" s="3" t="s">
        <v>502</v>
      </c>
      <c r="V25" s="3" t="s">
        <v>502</v>
      </c>
      <c r="W25" s="3" t="s">
        <v>502</v>
      </c>
    </row>
    <row r="26" spans="1:23" s="3" customFormat="1" x14ac:dyDescent="0.25">
      <c r="A26" s="3" t="s">
        <v>136</v>
      </c>
      <c r="B26" s="3" t="s">
        <v>519</v>
      </c>
      <c r="C26" s="3" t="s">
        <v>86</v>
      </c>
      <c r="D26" s="3" t="s">
        <v>130</v>
      </c>
      <c r="E26" s="3" t="s">
        <v>140</v>
      </c>
      <c r="F26" s="3" t="s">
        <v>582</v>
      </c>
      <c r="G26" s="3" t="s">
        <v>610</v>
      </c>
      <c r="H26" s="3" t="s">
        <v>16</v>
      </c>
      <c r="I26" s="3">
        <v>8</v>
      </c>
      <c r="J26" s="3" t="s">
        <v>502</v>
      </c>
      <c r="K26" s="4">
        <v>46218</v>
      </c>
      <c r="L26" s="3" t="s">
        <v>138</v>
      </c>
      <c r="M26" s="3" t="s">
        <v>138</v>
      </c>
      <c r="N26" s="3" t="s">
        <v>611</v>
      </c>
      <c r="O26" s="3" t="s">
        <v>612</v>
      </c>
      <c r="P26" s="3" t="s">
        <v>502</v>
      </c>
      <c r="Q26" s="3" t="s">
        <v>502</v>
      </c>
      <c r="R26" s="3" t="s">
        <v>9</v>
      </c>
      <c r="S26" s="20">
        <v>2500</v>
      </c>
      <c r="T26" s="3" t="s">
        <v>141</v>
      </c>
      <c r="U26" s="3" t="s">
        <v>502</v>
      </c>
      <c r="V26" s="3" t="s">
        <v>502</v>
      </c>
      <c r="W26" s="3" t="s">
        <v>502</v>
      </c>
    </row>
    <row r="27" spans="1:23" s="3" customFormat="1" x14ac:dyDescent="0.25">
      <c r="A27" s="3" t="s">
        <v>136</v>
      </c>
      <c r="B27" s="3" t="s">
        <v>519</v>
      </c>
      <c r="C27" s="3" t="s">
        <v>86</v>
      </c>
      <c r="D27" s="3" t="s">
        <v>130</v>
      </c>
      <c r="E27" s="3" t="s">
        <v>140</v>
      </c>
      <c r="F27" s="3" t="s">
        <v>582</v>
      </c>
      <c r="G27" s="3" t="s">
        <v>613</v>
      </c>
      <c r="H27" s="3" t="s">
        <v>16</v>
      </c>
      <c r="I27" s="3">
        <v>9</v>
      </c>
      <c r="J27" s="3" t="s">
        <v>502</v>
      </c>
      <c r="K27" s="4">
        <v>46218</v>
      </c>
      <c r="L27" s="3" t="s">
        <v>138</v>
      </c>
      <c r="M27" s="3" t="s">
        <v>138</v>
      </c>
      <c r="N27" s="3" t="s">
        <v>611</v>
      </c>
      <c r="O27" s="3" t="s">
        <v>612</v>
      </c>
      <c r="P27" s="3" t="s">
        <v>502</v>
      </c>
      <c r="Q27" s="3" t="s">
        <v>502</v>
      </c>
      <c r="R27" s="3" t="s">
        <v>9</v>
      </c>
      <c r="S27" s="20">
        <v>2250</v>
      </c>
      <c r="T27" s="3" t="s">
        <v>142</v>
      </c>
      <c r="U27" s="3" t="s">
        <v>502</v>
      </c>
      <c r="V27" s="3" t="s">
        <v>502</v>
      </c>
      <c r="W27" s="3" t="s">
        <v>502</v>
      </c>
    </row>
    <row r="28" spans="1:23" s="3" customFormat="1" x14ac:dyDescent="0.25">
      <c r="A28" s="3" t="s">
        <v>136</v>
      </c>
      <c r="B28" s="3" t="s">
        <v>519</v>
      </c>
      <c r="C28" s="3" t="s">
        <v>86</v>
      </c>
      <c r="D28" s="3" t="s">
        <v>130</v>
      </c>
      <c r="E28" s="3" t="s">
        <v>140</v>
      </c>
      <c r="F28" s="3" t="s">
        <v>582</v>
      </c>
      <c r="G28" s="3" t="s">
        <v>614</v>
      </c>
      <c r="H28" s="3" t="s">
        <v>16</v>
      </c>
      <c r="I28" s="3">
        <v>10</v>
      </c>
      <c r="J28" s="3" t="s">
        <v>502</v>
      </c>
      <c r="K28" s="4">
        <v>46218</v>
      </c>
      <c r="L28" s="3" t="s">
        <v>138</v>
      </c>
      <c r="M28" s="3" t="s">
        <v>138</v>
      </c>
      <c r="N28" s="3" t="s">
        <v>611</v>
      </c>
      <c r="O28" s="3" t="s">
        <v>612</v>
      </c>
      <c r="P28" s="3" t="s">
        <v>502</v>
      </c>
      <c r="Q28" s="3" t="s">
        <v>502</v>
      </c>
      <c r="R28" s="3" t="s">
        <v>9</v>
      </c>
      <c r="S28" s="20">
        <v>2000</v>
      </c>
      <c r="T28" s="3" t="s">
        <v>143</v>
      </c>
      <c r="U28" s="3" t="s">
        <v>502</v>
      </c>
      <c r="V28" s="3" t="s">
        <v>502</v>
      </c>
      <c r="W28" s="3" t="s">
        <v>502</v>
      </c>
    </row>
    <row r="29" spans="1:23" s="3" customFormat="1" x14ac:dyDescent="0.25">
      <c r="A29" s="3" t="s">
        <v>136</v>
      </c>
      <c r="B29" s="3" t="s">
        <v>519</v>
      </c>
      <c r="C29" s="3" t="s">
        <v>86</v>
      </c>
      <c r="D29" s="3" t="s">
        <v>130</v>
      </c>
      <c r="E29" s="3" t="s">
        <v>140</v>
      </c>
      <c r="F29" s="3" t="s">
        <v>584</v>
      </c>
      <c r="G29" s="3" t="s">
        <v>615</v>
      </c>
      <c r="H29" s="3" t="s">
        <v>16</v>
      </c>
      <c r="I29" s="3">
        <v>10</v>
      </c>
      <c r="J29" s="3" t="s">
        <v>502</v>
      </c>
      <c r="K29" s="4">
        <v>46218</v>
      </c>
      <c r="L29" s="3" t="s">
        <v>138</v>
      </c>
      <c r="M29" s="3" t="s">
        <v>138</v>
      </c>
      <c r="N29" s="3" t="s">
        <v>611</v>
      </c>
      <c r="O29" s="3" t="s">
        <v>612</v>
      </c>
      <c r="P29" s="3" t="s">
        <v>502</v>
      </c>
      <c r="Q29" s="3" t="s">
        <v>502</v>
      </c>
      <c r="R29" s="3" t="s">
        <v>9</v>
      </c>
      <c r="S29" s="20">
        <v>6750</v>
      </c>
      <c r="T29" s="3" t="s">
        <v>144</v>
      </c>
      <c r="U29" s="3" t="s">
        <v>502</v>
      </c>
      <c r="V29" s="3" t="s">
        <v>502</v>
      </c>
      <c r="W29" s="3" t="s">
        <v>502</v>
      </c>
    </row>
    <row r="30" spans="1:23" s="3" customFormat="1" x14ac:dyDescent="0.25">
      <c r="A30" s="3" t="s">
        <v>145</v>
      </c>
      <c r="B30" s="3" t="s">
        <v>517</v>
      </c>
      <c r="C30" s="3" t="s">
        <v>86</v>
      </c>
      <c r="D30" s="3" t="s">
        <v>148</v>
      </c>
      <c r="E30" s="3" t="s">
        <v>149</v>
      </c>
      <c r="F30" s="3" t="s">
        <v>582</v>
      </c>
      <c r="G30" s="3" t="s">
        <v>616</v>
      </c>
      <c r="H30" s="3" t="s">
        <v>16</v>
      </c>
      <c r="I30" s="3">
        <v>11</v>
      </c>
      <c r="J30" s="3" t="s">
        <v>502</v>
      </c>
      <c r="K30" s="4">
        <v>46218</v>
      </c>
      <c r="L30" s="3" t="s">
        <v>146</v>
      </c>
      <c r="M30" s="3" t="s">
        <v>617</v>
      </c>
      <c r="N30" s="3" t="s">
        <v>502</v>
      </c>
      <c r="O30" s="3" t="s">
        <v>502</v>
      </c>
      <c r="P30" s="3" t="s">
        <v>146</v>
      </c>
      <c r="Q30" s="3" t="s">
        <v>617</v>
      </c>
      <c r="R30" s="3" t="s">
        <v>9</v>
      </c>
      <c r="S30" s="20">
        <v>-300</v>
      </c>
      <c r="T30" s="3" t="s">
        <v>150</v>
      </c>
      <c r="U30" s="3" t="s">
        <v>502</v>
      </c>
      <c r="V30" s="3" t="s">
        <v>502</v>
      </c>
      <c r="W30" s="3" t="s">
        <v>502</v>
      </c>
    </row>
    <row r="31" spans="1:23" s="3" customFormat="1" x14ac:dyDescent="0.25">
      <c r="A31" s="3" t="s">
        <v>145</v>
      </c>
      <c r="B31" s="3" t="s">
        <v>517</v>
      </c>
      <c r="C31" s="3" t="s">
        <v>86</v>
      </c>
      <c r="D31" s="3" t="s">
        <v>148</v>
      </c>
      <c r="E31" s="3" t="s">
        <v>149</v>
      </c>
      <c r="F31" s="3" t="s">
        <v>584</v>
      </c>
      <c r="G31" s="3" t="s">
        <v>618</v>
      </c>
      <c r="H31" s="3" t="s">
        <v>16</v>
      </c>
      <c r="I31" s="3">
        <v>11</v>
      </c>
      <c r="J31" s="3" t="s">
        <v>502</v>
      </c>
      <c r="K31" s="4">
        <v>46218</v>
      </c>
      <c r="L31" s="3" t="s">
        <v>146</v>
      </c>
      <c r="M31" s="3" t="s">
        <v>617</v>
      </c>
      <c r="N31" s="3" t="s">
        <v>502</v>
      </c>
      <c r="O31" s="3" t="s">
        <v>502</v>
      </c>
      <c r="P31" s="3" t="s">
        <v>146</v>
      </c>
      <c r="Q31" s="3" t="s">
        <v>617</v>
      </c>
      <c r="R31" s="3" t="s">
        <v>9</v>
      </c>
      <c r="S31" s="20">
        <v>-123</v>
      </c>
      <c r="T31" s="3" t="s">
        <v>151</v>
      </c>
      <c r="U31" s="3" t="s">
        <v>502</v>
      </c>
      <c r="V31" s="3" t="s">
        <v>502</v>
      </c>
      <c r="W31" s="3" t="s">
        <v>502</v>
      </c>
    </row>
    <row r="32" spans="1:23" s="3" customFormat="1" x14ac:dyDescent="0.25">
      <c r="A32" s="3" t="s">
        <v>145</v>
      </c>
      <c r="B32" s="3" t="s">
        <v>517</v>
      </c>
      <c r="C32" s="3" t="s">
        <v>86</v>
      </c>
      <c r="D32" s="3" t="s">
        <v>148</v>
      </c>
      <c r="E32" s="3" t="s">
        <v>149</v>
      </c>
      <c r="F32" s="3" t="s">
        <v>584</v>
      </c>
      <c r="G32" s="3" t="s">
        <v>619</v>
      </c>
      <c r="H32" s="3" t="s">
        <v>16</v>
      </c>
      <c r="I32" s="3">
        <v>12</v>
      </c>
      <c r="J32" s="3" t="s">
        <v>502</v>
      </c>
      <c r="K32" s="4">
        <v>46218</v>
      </c>
      <c r="L32" s="3" t="s">
        <v>146</v>
      </c>
      <c r="M32" s="3" t="s">
        <v>617</v>
      </c>
      <c r="N32" s="3" t="s">
        <v>502</v>
      </c>
      <c r="O32" s="3" t="s">
        <v>502</v>
      </c>
      <c r="P32" s="3" t="s">
        <v>146</v>
      </c>
      <c r="Q32" s="3" t="s">
        <v>617</v>
      </c>
      <c r="R32" s="3" t="s">
        <v>9</v>
      </c>
      <c r="S32" s="20">
        <v>-177</v>
      </c>
      <c r="T32" s="3" t="s">
        <v>152</v>
      </c>
      <c r="U32" s="3" t="s">
        <v>502</v>
      </c>
      <c r="V32" s="3" t="s">
        <v>502</v>
      </c>
      <c r="W32" s="3" t="s">
        <v>502</v>
      </c>
    </row>
    <row r="33" spans="1:23" s="3" customFormat="1" x14ac:dyDescent="0.25">
      <c r="A33" s="3" t="s">
        <v>153</v>
      </c>
      <c r="B33" s="3" t="s">
        <v>519</v>
      </c>
      <c r="C33" s="3" t="s">
        <v>86</v>
      </c>
      <c r="D33" s="3" t="s">
        <v>148</v>
      </c>
      <c r="E33" s="3" t="s">
        <v>156</v>
      </c>
      <c r="F33" s="3" t="s">
        <v>582</v>
      </c>
      <c r="G33" s="3" t="s">
        <v>620</v>
      </c>
      <c r="H33" s="3" t="s">
        <v>16</v>
      </c>
      <c r="I33" s="3">
        <v>12</v>
      </c>
      <c r="J33" s="3" t="s">
        <v>502</v>
      </c>
      <c r="K33" s="4">
        <v>46218</v>
      </c>
      <c r="L33" s="3" t="s">
        <v>154</v>
      </c>
      <c r="M33" s="3" t="s">
        <v>621</v>
      </c>
      <c r="N33" s="3" t="s">
        <v>502</v>
      </c>
      <c r="O33" s="3" t="s">
        <v>502</v>
      </c>
      <c r="P33" s="3" t="s">
        <v>154</v>
      </c>
      <c r="Q33" s="3" t="s">
        <v>621</v>
      </c>
      <c r="R33" s="3" t="s">
        <v>9</v>
      </c>
      <c r="S33" s="20">
        <v>-123</v>
      </c>
      <c r="T33" s="3" t="s">
        <v>157</v>
      </c>
      <c r="U33" s="3" t="s">
        <v>502</v>
      </c>
      <c r="V33" s="3" t="s">
        <v>502</v>
      </c>
      <c r="W33" s="3" t="s">
        <v>502</v>
      </c>
    </row>
    <row r="34" spans="1:23" s="3" customFormat="1" x14ac:dyDescent="0.25">
      <c r="A34" s="3" t="s">
        <v>153</v>
      </c>
      <c r="B34" s="3" t="s">
        <v>519</v>
      </c>
      <c r="C34" s="3" t="s">
        <v>86</v>
      </c>
      <c r="D34" s="3" t="s">
        <v>148</v>
      </c>
      <c r="E34" s="3" t="s">
        <v>156</v>
      </c>
      <c r="F34" s="3" t="s">
        <v>582</v>
      </c>
      <c r="G34" s="3" t="s">
        <v>622</v>
      </c>
      <c r="H34" s="3" t="s">
        <v>16</v>
      </c>
      <c r="I34" s="3">
        <v>13</v>
      </c>
      <c r="J34" s="3" t="s">
        <v>502</v>
      </c>
      <c r="K34" s="4">
        <v>46218</v>
      </c>
      <c r="L34" s="3" t="s">
        <v>154</v>
      </c>
      <c r="M34" s="3" t="s">
        <v>621</v>
      </c>
      <c r="N34" s="3" t="s">
        <v>502</v>
      </c>
      <c r="O34" s="3" t="s">
        <v>502</v>
      </c>
      <c r="P34" s="3" t="s">
        <v>154</v>
      </c>
      <c r="Q34" s="3" t="s">
        <v>621</v>
      </c>
      <c r="R34" s="3" t="s">
        <v>9</v>
      </c>
      <c r="S34" s="20">
        <v>-177</v>
      </c>
      <c r="T34" s="3" t="s">
        <v>158</v>
      </c>
      <c r="U34" s="3" t="s">
        <v>502</v>
      </c>
      <c r="V34" s="3" t="s">
        <v>502</v>
      </c>
      <c r="W34" s="3" t="s">
        <v>502</v>
      </c>
    </row>
    <row r="35" spans="1:23" s="3" customFormat="1" x14ac:dyDescent="0.25">
      <c r="A35" s="3" t="s">
        <v>153</v>
      </c>
      <c r="B35" s="3" t="s">
        <v>519</v>
      </c>
      <c r="C35" s="3" t="s">
        <v>86</v>
      </c>
      <c r="D35" s="3" t="s">
        <v>148</v>
      </c>
      <c r="E35" s="3" t="s">
        <v>156</v>
      </c>
      <c r="F35" s="3" t="s">
        <v>584</v>
      </c>
      <c r="G35" s="3" t="s">
        <v>623</v>
      </c>
      <c r="H35" s="3" t="s">
        <v>16</v>
      </c>
      <c r="I35" s="3">
        <v>13</v>
      </c>
      <c r="J35" s="3" t="s">
        <v>502</v>
      </c>
      <c r="K35" s="4">
        <v>46218</v>
      </c>
      <c r="L35" s="3" t="s">
        <v>154</v>
      </c>
      <c r="M35" s="3" t="s">
        <v>621</v>
      </c>
      <c r="N35" s="3" t="s">
        <v>502</v>
      </c>
      <c r="O35" s="3" t="s">
        <v>502</v>
      </c>
      <c r="P35" s="3" t="s">
        <v>154</v>
      </c>
      <c r="Q35" s="3" t="s">
        <v>621</v>
      </c>
      <c r="R35" s="3" t="s">
        <v>9</v>
      </c>
      <c r="S35" s="20">
        <v>-300</v>
      </c>
      <c r="T35" s="3" t="s">
        <v>159</v>
      </c>
      <c r="U35" s="3" t="s">
        <v>502</v>
      </c>
      <c r="V35" s="3" t="s">
        <v>502</v>
      </c>
      <c r="W35" s="3" t="s">
        <v>502</v>
      </c>
    </row>
    <row r="36" spans="1:23" s="3" customFormat="1" x14ac:dyDescent="0.25">
      <c r="A36" s="3" t="s">
        <v>160</v>
      </c>
      <c r="B36" s="3" t="s">
        <v>517</v>
      </c>
      <c r="C36" s="3" t="s">
        <v>86</v>
      </c>
      <c r="D36" s="3" t="s">
        <v>130</v>
      </c>
      <c r="E36" s="3" t="s">
        <v>162</v>
      </c>
      <c r="F36" s="3" t="s">
        <v>582</v>
      </c>
      <c r="G36" s="3" t="s">
        <v>624</v>
      </c>
      <c r="H36" s="3" t="s">
        <v>16</v>
      </c>
      <c r="I36" s="3">
        <v>17</v>
      </c>
      <c r="J36" s="3" t="s">
        <v>502</v>
      </c>
      <c r="K36" s="4">
        <v>46218</v>
      </c>
      <c r="L36" s="3" t="s">
        <v>161</v>
      </c>
      <c r="M36" s="3" t="s">
        <v>161</v>
      </c>
      <c r="N36" s="3" t="s">
        <v>625</v>
      </c>
      <c r="O36" s="3" t="s">
        <v>626</v>
      </c>
      <c r="P36" s="3" t="s">
        <v>502</v>
      </c>
      <c r="Q36" s="3" t="s">
        <v>502</v>
      </c>
      <c r="R36" s="3" t="s">
        <v>9</v>
      </c>
      <c r="S36" s="20">
        <v>6750</v>
      </c>
      <c r="T36" s="3" t="s">
        <v>163</v>
      </c>
      <c r="U36" s="3" t="s">
        <v>502</v>
      </c>
      <c r="V36" s="3" t="s">
        <v>502</v>
      </c>
      <c r="W36" s="3" t="s">
        <v>502</v>
      </c>
    </row>
    <row r="37" spans="1:23" s="3" customFormat="1" x14ac:dyDescent="0.25">
      <c r="A37" s="3" t="s">
        <v>160</v>
      </c>
      <c r="B37" s="3" t="s">
        <v>517</v>
      </c>
      <c r="C37" s="3" t="s">
        <v>86</v>
      </c>
      <c r="D37" s="3" t="s">
        <v>130</v>
      </c>
      <c r="E37" s="3" t="s">
        <v>162</v>
      </c>
      <c r="F37" s="3" t="s">
        <v>584</v>
      </c>
      <c r="G37" s="3" t="s">
        <v>627</v>
      </c>
      <c r="H37" s="3" t="s">
        <v>16</v>
      </c>
      <c r="I37" s="3">
        <v>17</v>
      </c>
      <c r="J37" s="3" t="s">
        <v>502</v>
      </c>
      <c r="K37" s="4">
        <v>46218</v>
      </c>
      <c r="L37" s="3" t="s">
        <v>161</v>
      </c>
      <c r="M37" s="3" t="s">
        <v>161</v>
      </c>
      <c r="N37" s="3" t="s">
        <v>625</v>
      </c>
      <c r="O37" s="3" t="s">
        <v>626</v>
      </c>
      <c r="P37" s="3" t="s">
        <v>502</v>
      </c>
      <c r="Q37" s="3" t="s">
        <v>502</v>
      </c>
      <c r="R37" s="3" t="s">
        <v>9</v>
      </c>
      <c r="S37" s="20">
        <v>2500</v>
      </c>
      <c r="T37" s="3" t="s">
        <v>164</v>
      </c>
      <c r="U37" s="3" t="s">
        <v>502</v>
      </c>
      <c r="V37" s="3" t="s">
        <v>502</v>
      </c>
      <c r="W37" s="3" t="s">
        <v>502</v>
      </c>
    </row>
    <row r="38" spans="1:23" s="3" customFormat="1" x14ac:dyDescent="0.25">
      <c r="A38" s="3" t="s">
        <v>160</v>
      </c>
      <c r="B38" s="3" t="s">
        <v>517</v>
      </c>
      <c r="C38" s="3" t="s">
        <v>86</v>
      </c>
      <c r="D38" s="3" t="s">
        <v>130</v>
      </c>
      <c r="E38" s="3" t="s">
        <v>162</v>
      </c>
      <c r="F38" s="3" t="s">
        <v>584</v>
      </c>
      <c r="G38" s="3" t="s">
        <v>628</v>
      </c>
      <c r="H38" s="3" t="s">
        <v>16</v>
      </c>
      <c r="I38" s="3">
        <v>18</v>
      </c>
      <c r="J38" s="3" t="s">
        <v>502</v>
      </c>
      <c r="K38" s="4">
        <v>46218</v>
      </c>
      <c r="L38" s="3" t="s">
        <v>161</v>
      </c>
      <c r="M38" s="3" t="s">
        <v>161</v>
      </c>
      <c r="N38" s="3" t="s">
        <v>625</v>
      </c>
      <c r="O38" s="3" t="s">
        <v>626</v>
      </c>
      <c r="P38" s="3" t="s">
        <v>502</v>
      </c>
      <c r="Q38" s="3" t="s">
        <v>502</v>
      </c>
      <c r="R38" s="3" t="s">
        <v>9</v>
      </c>
      <c r="S38" s="20">
        <v>2250</v>
      </c>
      <c r="T38" s="3" t="s">
        <v>165</v>
      </c>
      <c r="U38" s="3" t="s">
        <v>502</v>
      </c>
      <c r="V38" s="3" t="s">
        <v>502</v>
      </c>
      <c r="W38" s="3" t="s">
        <v>502</v>
      </c>
    </row>
    <row r="39" spans="1:23" s="3" customFormat="1" x14ac:dyDescent="0.25">
      <c r="A39" s="3" t="s">
        <v>160</v>
      </c>
      <c r="B39" s="3" t="s">
        <v>517</v>
      </c>
      <c r="C39" s="3" t="s">
        <v>86</v>
      </c>
      <c r="D39" s="3" t="s">
        <v>130</v>
      </c>
      <c r="E39" s="3" t="s">
        <v>162</v>
      </c>
      <c r="F39" s="3" t="s">
        <v>584</v>
      </c>
      <c r="G39" s="3" t="s">
        <v>629</v>
      </c>
      <c r="H39" s="3" t="s">
        <v>16</v>
      </c>
      <c r="I39" s="3">
        <v>19</v>
      </c>
      <c r="J39" s="3" t="s">
        <v>502</v>
      </c>
      <c r="K39" s="4">
        <v>46218</v>
      </c>
      <c r="L39" s="3" t="s">
        <v>161</v>
      </c>
      <c r="M39" s="3" t="s">
        <v>161</v>
      </c>
      <c r="N39" s="3" t="s">
        <v>625</v>
      </c>
      <c r="O39" s="3" t="s">
        <v>626</v>
      </c>
      <c r="P39" s="3" t="s">
        <v>502</v>
      </c>
      <c r="Q39" s="3" t="s">
        <v>502</v>
      </c>
      <c r="R39" s="3" t="s">
        <v>9</v>
      </c>
      <c r="S39" s="20">
        <v>2000</v>
      </c>
      <c r="T39" s="3" t="s">
        <v>166</v>
      </c>
      <c r="U39" s="3" t="s">
        <v>502</v>
      </c>
      <c r="V39" s="3" t="s">
        <v>502</v>
      </c>
      <c r="W39" s="3" t="s">
        <v>502</v>
      </c>
    </row>
    <row r="40" spans="1:23" s="3" customFormat="1" x14ac:dyDescent="0.25">
      <c r="A40" s="3" t="s">
        <v>167</v>
      </c>
      <c r="B40" s="3" t="s">
        <v>519</v>
      </c>
      <c r="C40" s="3" t="s">
        <v>86</v>
      </c>
      <c r="D40" s="3" t="s">
        <v>130</v>
      </c>
      <c r="E40" s="3" t="s">
        <v>169</v>
      </c>
      <c r="F40" s="3" t="s">
        <v>582</v>
      </c>
      <c r="G40" s="3" t="s">
        <v>630</v>
      </c>
      <c r="H40" s="3" t="s">
        <v>16</v>
      </c>
      <c r="I40" s="3">
        <v>18</v>
      </c>
      <c r="J40" s="3" t="s">
        <v>502</v>
      </c>
      <c r="K40" s="4">
        <v>46218</v>
      </c>
      <c r="L40" s="3" t="s">
        <v>168</v>
      </c>
      <c r="M40" s="3" t="s">
        <v>168</v>
      </c>
      <c r="N40" s="3" t="s">
        <v>631</v>
      </c>
      <c r="O40" s="3" t="s">
        <v>632</v>
      </c>
      <c r="P40" s="3" t="s">
        <v>502</v>
      </c>
      <c r="Q40" s="3" t="s">
        <v>502</v>
      </c>
      <c r="R40" s="3" t="s">
        <v>9</v>
      </c>
      <c r="S40" s="20">
        <v>2500</v>
      </c>
      <c r="T40" s="3" t="s">
        <v>170</v>
      </c>
      <c r="U40" s="3" t="s">
        <v>502</v>
      </c>
      <c r="V40" s="3" t="s">
        <v>502</v>
      </c>
      <c r="W40" s="3" t="s">
        <v>502</v>
      </c>
    </row>
    <row r="41" spans="1:23" s="3" customFormat="1" x14ac:dyDescent="0.25">
      <c r="A41" s="3" t="s">
        <v>167</v>
      </c>
      <c r="B41" s="3" t="s">
        <v>519</v>
      </c>
      <c r="C41" s="3" t="s">
        <v>86</v>
      </c>
      <c r="D41" s="3" t="s">
        <v>130</v>
      </c>
      <c r="E41" s="3" t="s">
        <v>169</v>
      </c>
      <c r="F41" s="3" t="s">
        <v>582</v>
      </c>
      <c r="G41" s="3" t="s">
        <v>633</v>
      </c>
      <c r="H41" s="3" t="s">
        <v>16</v>
      </c>
      <c r="I41" s="3">
        <v>19</v>
      </c>
      <c r="J41" s="3" t="s">
        <v>502</v>
      </c>
      <c r="K41" s="4">
        <v>46218</v>
      </c>
      <c r="L41" s="3" t="s">
        <v>168</v>
      </c>
      <c r="M41" s="3" t="s">
        <v>168</v>
      </c>
      <c r="N41" s="3" t="s">
        <v>631</v>
      </c>
      <c r="O41" s="3" t="s">
        <v>632</v>
      </c>
      <c r="P41" s="3" t="s">
        <v>502</v>
      </c>
      <c r="Q41" s="3" t="s">
        <v>502</v>
      </c>
      <c r="R41" s="3" t="s">
        <v>9</v>
      </c>
      <c r="S41" s="20">
        <v>2250</v>
      </c>
      <c r="T41" s="3" t="s">
        <v>171</v>
      </c>
      <c r="U41" s="3" t="s">
        <v>502</v>
      </c>
      <c r="V41" s="3" t="s">
        <v>502</v>
      </c>
      <c r="W41" s="3" t="s">
        <v>502</v>
      </c>
    </row>
    <row r="42" spans="1:23" s="3" customFormat="1" x14ac:dyDescent="0.25">
      <c r="A42" s="3" t="s">
        <v>167</v>
      </c>
      <c r="B42" s="3" t="s">
        <v>519</v>
      </c>
      <c r="C42" s="3" t="s">
        <v>86</v>
      </c>
      <c r="D42" s="3" t="s">
        <v>130</v>
      </c>
      <c r="E42" s="3" t="s">
        <v>169</v>
      </c>
      <c r="F42" s="3" t="s">
        <v>582</v>
      </c>
      <c r="G42" s="3" t="s">
        <v>634</v>
      </c>
      <c r="H42" s="3" t="s">
        <v>16</v>
      </c>
      <c r="I42" s="3">
        <v>20</v>
      </c>
      <c r="J42" s="3" t="s">
        <v>502</v>
      </c>
      <c r="K42" s="4">
        <v>46218</v>
      </c>
      <c r="L42" s="3" t="s">
        <v>168</v>
      </c>
      <c r="M42" s="3" t="s">
        <v>168</v>
      </c>
      <c r="N42" s="3" t="s">
        <v>631</v>
      </c>
      <c r="O42" s="3" t="s">
        <v>632</v>
      </c>
      <c r="P42" s="3" t="s">
        <v>502</v>
      </c>
      <c r="Q42" s="3" t="s">
        <v>502</v>
      </c>
      <c r="R42" s="3" t="s">
        <v>9</v>
      </c>
      <c r="S42" s="20">
        <v>2000</v>
      </c>
      <c r="T42" s="3" t="s">
        <v>172</v>
      </c>
      <c r="U42" s="3" t="s">
        <v>502</v>
      </c>
      <c r="V42" s="3" t="s">
        <v>502</v>
      </c>
      <c r="W42" s="3" t="s">
        <v>502</v>
      </c>
    </row>
    <row r="43" spans="1:23" s="3" customFormat="1" x14ac:dyDescent="0.25">
      <c r="A43" s="3" t="s">
        <v>167</v>
      </c>
      <c r="B43" s="3" t="s">
        <v>519</v>
      </c>
      <c r="C43" s="3" t="s">
        <v>86</v>
      </c>
      <c r="D43" s="3" t="s">
        <v>130</v>
      </c>
      <c r="E43" s="3" t="s">
        <v>169</v>
      </c>
      <c r="F43" s="3" t="s">
        <v>584</v>
      </c>
      <c r="G43" s="3" t="s">
        <v>635</v>
      </c>
      <c r="H43" s="3" t="s">
        <v>16</v>
      </c>
      <c r="I43" s="3">
        <v>20</v>
      </c>
      <c r="J43" s="3" t="s">
        <v>502</v>
      </c>
      <c r="K43" s="4">
        <v>46218</v>
      </c>
      <c r="L43" s="3" t="s">
        <v>168</v>
      </c>
      <c r="M43" s="3" t="s">
        <v>168</v>
      </c>
      <c r="N43" s="3" t="s">
        <v>631</v>
      </c>
      <c r="O43" s="3" t="s">
        <v>632</v>
      </c>
      <c r="P43" s="3" t="s">
        <v>502</v>
      </c>
      <c r="Q43" s="3" t="s">
        <v>502</v>
      </c>
      <c r="R43" s="3" t="s">
        <v>9</v>
      </c>
      <c r="S43" s="20">
        <v>6750</v>
      </c>
      <c r="T43" s="3" t="s">
        <v>173</v>
      </c>
      <c r="U43" s="3" t="s">
        <v>502</v>
      </c>
      <c r="V43" s="3" t="s">
        <v>502</v>
      </c>
      <c r="W43" s="3" t="s">
        <v>502</v>
      </c>
    </row>
    <row r="44" spans="1:23" s="3" customFormat="1" x14ac:dyDescent="0.25">
      <c r="A44" s="3" t="s">
        <v>174</v>
      </c>
      <c r="B44" s="3" t="s">
        <v>517</v>
      </c>
      <c r="C44" s="3" t="s">
        <v>86</v>
      </c>
      <c r="D44" s="3" t="s">
        <v>148</v>
      </c>
      <c r="E44" s="3" t="s">
        <v>176</v>
      </c>
      <c r="F44" s="3" t="s">
        <v>582</v>
      </c>
      <c r="G44" s="3" t="s">
        <v>636</v>
      </c>
      <c r="H44" s="3" t="s">
        <v>16</v>
      </c>
      <c r="I44" s="3">
        <v>21</v>
      </c>
      <c r="J44" s="3" t="s">
        <v>502</v>
      </c>
      <c r="K44" s="4">
        <v>46218</v>
      </c>
      <c r="L44" s="3" t="s">
        <v>175</v>
      </c>
      <c r="M44" s="3" t="s">
        <v>637</v>
      </c>
      <c r="N44" s="3" t="s">
        <v>502</v>
      </c>
      <c r="O44" s="3" t="s">
        <v>502</v>
      </c>
      <c r="P44" s="3" t="s">
        <v>175</v>
      </c>
      <c r="Q44" s="3" t="s">
        <v>637</v>
      </c>
      <c r="R44" s="3" t="s">
        <v>9</v>
      </c>
      <c r="S44" s="20">
        <v>-300</v>
      </c>
      <c r="T44" s="3" t="s">
        <v>177</v>
      </c>
      <c r="U44" s="3" t="s">
        <v>502</v>
      </c>
      <c r="V44" s="3" t="s">
        <v>502</v>
      </c>
      <c r="W44" s="3" t="s">
        <v>502</v>
      </c>
    </row>
    <row r="45" spans="1:23" s="3" customFormat="1" x14ac:dyDescent="0.25">
      <c r="A45" s="3" t="s">
        <v>174</v>
      </c>
      <c r="B45" s="3" t="s">
        <v>517</v>
      </c>
      <c r="C45" s="3" t="s">
        <v>86</v>
      </c>
      <c r="D45" s="3" t="s">
        <v>148</v>
      </c>
      <c r="E45" s="3" t="s">
        <v>176</v>
      </c>
      <c r="F45" s="3" t="s">
        <v>584</v>
      </c>
      <c r="G45" s="3" t="s">
        <v>638</v>
      </c>
      <c r="H45" s="3" t="s">
        <v>16</v>
      </c>
      <c r="I45" s="3">
        <v>21</v>
      </c>
      <c r="J45" s="3" t="s">
        <v>502</v>
      </c>
      <c r="K45" s="4">
        <v>46218</v>
      </c>
      <c r="L45" s="3" t="s">
        <v>175</v>
      </c>
      <c r="M45" s="3" t="s">
        <v>637</v>
      </c>
      <c r="N45" s="3" t="s">
        <v>502</v>
      </c>
      <c r="O45" s="3" t="s">
        <v>502</v>
      </c>
      <c r="P45" s="3" t="s">
        <v>175</v>
      </c>
      <c r="Q45" s="3" t="s">
        <v>637</v>
      </c>
      <c r="R45" s="3" t="s">
        <v>9</v>
      </c>
      <c r="S45" s="20">
        <v>-123</v>
      </c>
      <c r="T45" s="3" t="s">
        <v>178</v>
      </c>
      <c r="U45" s="3" t="s">
        <v>502</v>
      </c>
      <c r="V45" s="3" t="s">
        <v>502</v>
      </c>
      <c r="W45" s="3" t="s">
        <v>502</v>
      </c>
    </row>
    <row r="46" spans="1:23" s="3" customFormat="1" x14ac:dyDescent="0.25">
      <c r="A46" s="3" t="s">
        <v>174</v>
      </c>
      <c r="B46" s="3" t="s">
        <v>517</v>
      </c>
      <c r="C46" s="3" t="s">
        <v>86</v>
      </c>
      <c r="D46" s="3" t="s">
        <v>148</v>
      </c>
      <c r="E46" s="3" t="s">
        <v>176</v>
      </c>
      <c r="F46" s="3" t="s">
        <v>584</v>
      </c>
      <c r="G46" s="3" t="s">
        <v>639</v>
      </c>
      <c r="H46" s="3" t="s">
        <v>16</v>
      </c>
      <c r="I46" s="3">
        <v>22</v>
      </c>
      <c r="J46" s="3" t="s">
        <v>502</v>
      </c>
      <c r="K46" s="4">
        <v>46218</v>
      </c>
      <c r="L46" s="3" t="s">
        <v>175</v>
      </c>
      <c r="M46" s="3" t="s">
        <v>637</v>
      </c>
      <c r="N46" s="3" t="s">
        <v>502</v>
      </c>
      <c r="O46" s="3" t="s">
        <v>502</v>
      </c>
      <c r="P46" s="3" t="s">
        <v>175</v>
      </c>
      <c r="Q46" s="3" t="s">
        <v>637</v>
      </c>
      <c r="R46" s="3" t="s">
        <v>9</v>
      </c>
      <c r="S46" s="20">
        <v>-177</v>
      </c>
      <c r="T46" s="3" t="s">
        <v>179</v>
      </c>
      <c r="U46" s="3" t="s">
        <v>502</v>
      </c>
      <c r="V46" s="3" t="s">
        <v>502</v>
      </c>
      <c r="W46" s="3" t="s">
        <v>502</v>
      </c>
    </row>
    <row r="47" spans="1:23" s="3" customFormat="1" x14ac:dyDescent="0.25">
      <c r="A47" s="3" t="s">
        <v>180</v>
      </c>
      <c r="B47" s="3" t="s">
        <v>519</v>
      </c>
      <c r="C47" s="3" t="s">
        <v>86</v>
      </c>
      <c r="D47" s="3" t="s">
        <v>148</v>
      </c>
      <c r="E47" s="3" t="s">
        <v>182</v>
      </c>
      <c r="F47" s="3" t="s">
        <v>582</v>
      </c>
      <c r="G47" s="3" t="s">
        <v>640</v>
      </c>
      <c r="H47" s="3" t="s">
        <v>16</v>
      </c>
      <c r="I47" s="3">
        <v>22</v>
      </c>
      <c r="J47" s="3" t="s">
        <v>502</v>
      </c>
      <c r="K47" s="4">
        <v>46218</v>
      </c>
      <c r="L47" s="3" t="s">
        <v>181</v>
      </c>
      <c r="M47" s="3" t="s">
        <v>641</v>
      </c>
      <c r="N47" s="3" t="s">
        <v>502</v>
      </c>
      <c r="O47" s="3" t="s">
        <v>502</v>
      </c>
      <c r="P47" s="3" t="s">
        <v>181</v>
      </c>
      <c r="Q47" s="3" t="s">
        <v>641</v>
      </c>
      <c r="R47" s="3" t="s">
        <v>9</v>
      </c>
      <c r="S47" s="20">
        <v>-123</v>
      </c>
      <c r="T47" s="3" t="s">
        <v>183</v>
      </c>
      <c r="U47" s="3" t="s">
        <v>502</v>
      </c>
      <c r="V47" s="3" t="s">
        <v>502</v>
      </c>
      <c r="W47" s="3" t="s">
        <v>502</v>
      </c>
    </row>
    <row r="48" spans="1:23" s="3" customFormat="1" x14ac:dyDescent="0.25">
      <c r="A48" s="3" t="s">
        <v>180</v>
      </c>
      <c r="B48" s="3" t="s">
        <v>519</v>
      </c>
      <c r="C48" s="3" t="s">
        <v>86</v>
      </c>
      <c r="D48" s="3" t="s">
        <v>148</v>
      </c>
      <c r="E48" s="3" t="s">
        <v>182</v>
      </c>
      <c r="F48" s="3" t="s">
        <v>582</v>
      </c>
      <c r="G48" s="3" t="s">
        <v>642</v>
      </c>
      <c r="H48" s="3" t="s">
        <v>16</v>
      </c>
      <c r="I48" s="3">
        <v>23</v>
      </c>
      <c r="J48" s="3" t="s">
        <v>502</v>
      </c>
      <c r="K48" s="4">
        <v>46218</v>
      </c>
      <c r="L48" s="3" t="s">
        <v>181</v>
      </c>
      <c r="M48" s="3" t="s">
        <v>641</v>
      </c>
      <c r="N48" s="3" t="s">
        <v>502</v>
      </c>
      <c r="O48" s="3" t="s">
        <v>502</v>
      </c>
      <c r="P48" s="3" t="s">
        <v>181</v>
      </c>
      <c r="Q48" s="3" t="s">
        <v>641</v>
      </c>
      <c r="R48" s="3" t="s">
        <v>9</v>
      </c>
      <c r="S48" s="20">
        <v>-177</v>
      </c>
      <c r="T48" s="3" t="s">
        <v>184</v>
      </c>
      <c r="U48" s="3" t="s">
        <v>502</v>
      </c>
      <c r="V48" s="3" t="s">
        <v>502</v>
      </c>
      <c r="W48" s="3" t="s">
        <v>502</v>
      </c>
    </row>
    <row r="49" spans="1:23" s="3" customFormat="1" x14ac:dyDescent="0.25">
      <c r="A49" s="3" t="s">
        <v>180</v>
      </c>
      <c r="B49" s="3" t="s">
        <v>519</v>
      </c>
      <c r="C49" s="3" t="s">
        <v>86</v>
      </c>
      <c r="D49" s="3" t="s">
        <v>148</v>
      </c>
      <c r="E49" s="3" t="s">
        <v>182</v>
      </c>
      <c r="F49" s="3" t="s">
        <v>584</v>
      </c>
      <c r="G49" s="3" t="s">
        <v>643</v>
      </c>
      <c r="H49" s="3" t="s">
        <v>16</v>
      </c>
      <c r="I49" s="3">
        <v>23</v>
      </c>
      <c r="J49" s="3" t="s">
        <v>502</v>
      </c>
      <c r="K49" s="4">
        <v>46218</v>
      </c>
      <c r="L49" s="3" t="s">
        <v>181</v>
      </c>
      <c r="M49" s="3" t="s">
        <v>641</v>
      </c>
      <c r="N49" s="3" t="s">
        <v>502</v>
      </c>
      <c r="O49" s="3" t="s">
        <v>502</v>
      </c>
      <c r="P49" s="3" t="s">
        <v>181</v>
      </c>
      <c r="Q49" s="3" t="s">
        <v>641</v>
      </c>
      <c r="R49" s="3" t="s">
        <v>9</v>
      </c>
      <c r="S49" s="20">
        <v>-300</v>
      </c>
      <c r="T49" s="3" t="s">
        <v>185</v>
      </c>
      <c r="U49" s="3" t="s">
        <v>502</v>
      </c>
      <c r="V49" s="3" t="s">
        <v>502</v>
      </c>
      <c r="W49" s="3" t="s">
        <v>502</v>
      </c>
    </row>
    <row r="50" spans="1:23" s="3" customFormat="1" x14ac:dyDescent="0.25">
      <c r="A50" s="3" t="s">
        <v>186</v>
      </c>
      <c r="B50" s="3" t="s">
        <v>517</v>
      </c>
      <c r="C50" s="3" t="s">
        <v>86</v>
      </c>
      <c r="D50" s="3" t="s">
        <v>130</v>
      </c>
      <c r="E50" s="3" t="s">
        <v>188</v>
      </c>
      <c r="F50" s="3" t="s">
        <v>582</v>
      </c>
      <c r="G50" s="3" t="s">
        <v>644</v>
      </c>
      <c r="H50" s="3" t="s">
        <v>16</v>
      </c>
      <c r="I50" s="3">
        <v>27</v>
      </c>
      <c r="J50" s="3" t="s">
        <v>502</v>
      </c>
      <c r="K50" s="4">
        <v>46218</v>
      </c>
      <c r="L50" s="3" t="s">
        <v>187</v>
      </c>
      <c r="M50" s="3" t="s">
        <v>187</v>
      </c>
      <c r="N50" s="3" t="s">
        <v>645</v>
      </c>
      <c r="O50" s="3" t="s">
        <v>646</v>
      </c>
      <c r="P50" s="3" t="s">
        <v>502</v>
      </c>
      <c r="Q50" s="3" t="s">
        <v>502</v>
      </c>
      <c r="R50" s="3" t="s">
        <v>9</v>
      </c>
      <c r="S50" s="20">
        <v>6750</v>
      </c>
      <c r="T50" s="3" t="s">
        <v>189</v>
      </c>
      <c r="U50" s="3" t="s">
        <v>502</v>
      </c>
      <c r="V50" s="3" t="s">
        <v>502</v>
      </c>
      <c r="W50" s="3" t="s">
        <v>502</v>
      </c>
    </row>
    <row r="51" spans="1:23" s="3" customFormat="1" x14ac:dyDescent="0.25">
      <c r="A51" s="3" t="s">
        <v>186</v>
      </c>
      <c r="B51" s="3" t="s">
        <v>517</v>
      </c>
      <c r="C51" s="3" t="s">
        <v>86</v>
      </c>
      <c r="D51" s="3" t="s">
        <v>130</v>
      </c>
      <c r="E51" s="3" t="s">
        <v>188</v>
      </c>
      <c r="F51" s="3" t="s">
        <v>584</v>
      </c>
      <c r="G51" s="3" t="s">
        <v>647</v>
      </c>
      <c r="H51" s="3" t="s">
        <v>16</v>
      </c>
      <c r="I51" s="3">
        <v>27</v>
      </c>
      <c r="J51" s="3" t="s">
        <v>502</v>
      </c>
      <c r="K51" s="4">
        <v>46218</v>
      </c>
      <c r="L51" s="3" t="s">
        <v>187</v>
      </c>
      <c r="M51" s="3" t="s">
        <v>187</v>
      </c>
      <c r="N51" s="3" t="s">
        <v>645</v>
      </c>
      <c r="O51" s="3" t="s">
        <v>646</v>
      </c>
      <c r="P51" s="3" t="s">
        <v>502</v>
      </c>
      <c r="Q51" s="3" t="s">
        <v>502</v>
      </c>
      <c r="R51" s="3" t="s">
        <v>9</v>
      </c>
      <c r="S51" s="20">
        <v>2500</v>
      </c>
      <c r="T51" s="3" t="s">
        <v>190</v>
      </c>
      <c r="U51" s="3" t="s">
        <v>502</v>
      </c>
      <c r="V51" s="3" t="s">
        <v>502</v>
      </c>
      <c r="W51" s="3" t="s">
        <v>502</v>
      </c>
    </row>
    <row r="52" spans="1:23" s="3" customFormat="1" x14ac:dyDescent="0.25">
      <c r="A52" s="3" t="s">
        <v>186</v>
      </c>
      <c r="B52" s="3" t="s">
        <v>517</v>
      </c>
      <c r="C52" s="3" t="s">
        <v>86</v>
      </c>
      <c r="D52" s="3" t="s">
        <v>130</v>
      </c>
      <c r="E52" s="3" t="s">
        <v>188</v>
      </c>
      <c r="F52" s="3" t="s">
        <v>584</v>
      </c>
      <c r="G52" s="3" t="s">
        <v>648</v>
      </c>
      <c r="H52" s="3" t="s">
        <v>16</v>
      </c>
      <c r="I52" s="3">
        <v>28</v>
      </c>
      <c r="J52" s="3" t="s">
        <v>502</v>
      </c>
      <c r="K52" s="4">
        <v>46218</v>
      </c>
      <c r="L52" s="3" t="s">
        <v>187</v>
      </c>
      <c r="M52" s="3" t="s">
        <v>187</v>
      </c>
      <c r="N52" s="3" t="s">
        <v>645</v>
      </c>
      <c r="O52" s="3" t="s">
        <v>646</v>
      </c>
      <c r="P52" s="3" t="s">
        <v>502</v>
      </c>
      <c r="Q52" s="3" t="s">
        <v>502</v>
      </c>
      <c r="R52" s="3" t="s">
        <v>9</v>
      </c>
      <c r="S52" s="20">
        <v>2250</v>
      </c>
      <c r="T52" s="3" t="s">
        <v>191</v>
      </c>
      <c r="U52" s="3" t="s">
        <v>502</v>
      </c>
      <c r="V52" s="3" t="s">
        <v>502</v>
      </c>
      <c r="W52" s="3" t="s">
        <v>502</v>
      </c>
    </row>
    <row r="53" spans="1:23" s="3" customFormat="1" x14ac:dyDescent="0.25">
      <c r="A53" s="3" t="s">
        <v>186</v>
      </c>
      <c r="B53" s="3" t="s">
        <v>517</v>
      </c>
      <c r="C53" s="3" t="s">
        <v>86</v>
      </c>
      <c r="D53" s="3" t="s">
        <v>130</v>
      </c>
      <c r="E53" s="3" t="s">
        <v>188</v>
      </c>
      <c r="F53" s="3" t="s">
        <v>584</v>
      </c>
      <c r="G53" s="3" t="s">
        <v>649</v>
      </c>
      <c r="H53" s="3" t="s">
        <v>16</v>
      </c>
      <c r="I53" s="3">
        <v>29</v>
      </c>
      <c r="J53" s="3" t="s">
        <v>502</v>
      </c>
      <c r="K53" s="4">
        <v>46218</v>
      </c>
      <c r="L53" s="3" t="s">
        <v>187</v>
      </c>
      <c r="M53" s="3" t="s">
        <v>187</v>
      </c>
      <c r="N53" s="3" t="s">
        <v>645</v>
      </c>
      <c r="O53" s="3" t="s">
        <v>646</v>
      </c>
      <c r="P53" s="3" t="s">
        <v>502</v>
      </c>
      <c r="Q53" s="3" t="s">
        <v>502</v>
      </c>
      <c r="R53" s="3" t="s">
        <v>9</v>
      </c>
      <c r="S53" s="20">
        <v>2000</v>
      </c>
      <c r="T53" s="3" t="s">
        <v>192</v>
      </c>
      <c r="U53" s="3" t="s">
        <v>502</v>
      </c>
      <c r="V53" s="3" t="s">
        <v>502</v>
      </c>
      <c r="W53" s="3" t="s">
        <v>502</v>
      </c>
    </row>
    <row r="54" spans="1:23" s="3" customFormat="1" x14ac:dyDescent="0.25">
      <c r="A54" s="3" t="s">
        <v>193</v>
      </c>
      <c r="B54" s="3" t="s">
        <v>519</v>
      </c>
      <c r="C54" s="3" t="s">
        <v>86</v>
      </c>
      <c r="D54" s="3" t="s">
        <v>130</v>
      </c>
      <c r="E54" s="3" t="s">
        <v>195</v>
      </c>
      <c r="F54" s="3" t="s">
        <v>582</v>
      </c>
      <c r="G54" s="3" t="s">
        <v>650</v>
      </c>
      <c r="H54" s="3" t="s">
        <v>16</v>
      </c>
      <c r="I54" s="3">
        <v>28</v>
      </c>
      <c r="J54" s="3" t="s">
        <v>502</v>
      </c>
      <c r="K54" s="4">
        <v>46218</v>
      </c>
      <c r="L54" s="3" t="s">
        <v>194</v>
      </c>
      <c r="M54" s="3" t="s">
        <v>194</v>
      </c>
      <c r="N54" s="3" t="s">
        <v>651</v>
      </c>
      <c r="O54" s="3" t="s">
        <v>652</v>
      </c>
      <c r="P54" s="3" t="s">
        <v>502</v>
      </c>
      <c r="Q54" s="3" t="s">
        <v>502</v>
      </c>
      <c r="R54" s="3" t="s">
        <v>9</v>
      </c>
      <c r="S54" s="20">
        <v>2500</v>
      </c>
      <c r="T54" s="3" t="s">
        <v>196</v>
      </c>
      <c r="U54" s="3" t="s">
        <v>502</v>
      </c>
      <c r="V54" s="3" t="s">
        <v>502</v>
      </c>
      <c r="W54" s="3" t="s">
        <v>502</v>
      </c>
    </row>
    <row r="55" spans="1:23" s="3" customFormat="1" x14ac:dyDescent="0.25">
      <c r="A55" s="3" t="s">
        <v>193</v>
      </c>
      <c r="B55" s="3" t="s">
        <v>519</v>
      </c>
      <c r="C55" s="3" t="s">
        <v>86</v>
      </c>
      <c r="D55" s="3" t="s">
        <v>130</v>
      </c>
      <c r="E55" s="3" t="s">
        <v>195</v>
      </c>
      <c r="F55" s="3" t="s">
        <v>582</v>
      </c>
      <c r="G55" s="3" t="s">
        <v>653</v>
      </c>
      <c r="H55" s="3" t="s">
        <v>16</v>
      </c>
      <c r="I55" s="3">
        <v>29</v>
      </c>
      <c r="J55" s="3" t="s">
        <v>502</v>
      </c>
      <c r="K55" s="4">
        <v>46218</v>
      </c>
      <c r="L55" s="3" t="s">
        <v>194</v>
      </c>
      <c r="M55" s="3" t="s">
        <v>194</v>
      </c>
      <c r="N55" s="3" t="s">
        <v>651</v>
      </c>
      <c r="O55" s="3" t="s">
        <v>652</v>
      </c>
      <c r="P55" s="3" t="s">
        <v>502</v>
      </c>
      <c r="Q55" s="3" t="s">
        <v>502</v>
      </c>
      <c r="R55" s="3" t="s">
        <v>9</v>
      </c>
      <c r="S55" s="20">
        <v>2250</v>
      </c>
      <c r="T55" s="3" t="s">
        <v>197</v>
      </c>
      <c r="U55" s="3" t="s">
        <v>502</v>
      </c>
      <c r="V55" s="3" t="s">
        <v>502</v>
      </c>
      <c r="W55" s="3" t="s">
        <v>502</v>
      </c>
    </row>
    <row r="56" spans="1:23" s="3" customFormat="1" x14ac:dyDescent="0.25">
      <c r="A56" s="3" t="s">
        <v>193</v>
      </c>
      <c r="B56" s="3" t="s">
        <v>519</v>
      </c>
      <c r="C56" s="3" t="s">
        <v>86</v>
      </c>
      <c r="D56" s="3" t="s">
        <v>130</v>
      </c>
      <c r="E56" s="3" t="s">
        <v>195</v>
      </c>
      <c r="F56" s="3" t="s">
        <v>582</v>
      </c>
      <c r="G56" s="3" t="s">
        <v>654</v>
      </c>
      <c r="H56" s="3" t="s">
        <v>16</v>
      </c>
      <c r="I56" s="3">
        <v>30</v>
      </c>
      <c r="J56" s="3" t="s">
        <v>502</v>
      </c>
      <c r="K56" s="4">
        <v>46218</v>
      </c>
      <c r="L56" s="3" t="s">
        <v>194</v>
      </c>
      <c r="M56" s="3" t="s">
        <v>194</v>
      </c>
      <c r="N56" s="3" t="s">
        <v>651</v>
      </c>
      <c r="O56" s="3" t="s">
        <v>652</v>
      </c>
      <c r="P56" s="3" t="s">
        <v>502</v>
      </c>
      <c r="Q56" s="3" t="s">
        <v>502</v>
      </c>
      <c r="R56" s="3" t="s">
        <v>9</v>
      </c>
      <c r="S56" s="20">
        <v>2000</v>
      </c>
      <c r="T56" s="3" t="s">
        <v>198</v>
      </c>
      <c r="U56" s="3" t="s">
        <v>502</v>
      </c>
      <c r="V56" s="3" t="s">
        <v>502</v>
      </c>
      <c r="W56" s="3" t="s">
        <v>502</v>
      </c>
    </row>
    <row r="57" spans="1:23" s="3" customFormat="1" x14ac:dyDescent="0.25">
      <c r="A57" s="3" t="s">
        <v>193</v>
      </c>
      <c r="B57" s="3" t="s">
        <v>519</v>
      </c>
      <c r="C57" s="3" t="s">
        <v>86</v>
      </c>
      <c r="D57" s="3" t="s">
        <v>130</v>
      </c>
      <c r="E57" s="3" t="s">
        <v>195</v>
      </c>
      <c r="F57" s="3" t="s">
        <v>584</v>
      </c>
      <c r="G57" s="3" t="s">
        <v>655</v>
      </c>
      <c r="H57" s="3" t="s">
        <v>16</v>
      </c>
      <c r="I57" s="3">
        <v>30</v>
      </c>
      <c r="J57" s="3" t="s">
        <v>502</v>
      </c>
      <c r="K57" s="4">
        <v>46218</v>
      </c>
      <c r="L57" s="3" t="s">
        <v>194</v>
      </c>
      <c r="M57" s="3" t="s">
        <v>194</v>
      </c>
      <c r="N57" s="3" t="s">
        <v>651</v>
      </c>
      <c r="O57" s="3" t="s">
        <v>652</v>
      </c>
      <c r="P57" s="3" t="s">
        <v>502</v>
      </c>
      <c r="Q57" s="3" t="s">
        <v>502</v>
      </c>
      <c r="R57" s="3" t="s">
        <v>9</v>
      </c>
      <c r="S57" s="20">
        <v>6750</v>
      </c>
      <c r="T57" s="3" t="s">
        <v>199</v>
      </c>
      <c r="U57" s="3" t="s">
        <v>502</v>
      </c>
      <c r="V57" s="3" t="s">
        <v>502</v>
      </c>
      <c r="W57" s="3" t="s">
        <v>502</v>
      </c>
    </row>
    <row r="58" spans="1:23" s="3" customFormat="1" x14ac:dyDescent="0.25">
      <c r="A58" s="3" t="s">
        <v>200</v>
      </c>
      <c r="B58" s="3" t="s">
        <v>517</v>
      </c>
      <c r="C58" s="3" t="s">
        <v>86</v>
      </c>
      <c r="D58" s="3" t="s">
        <v>148</v>
      </c>
      <c r="E58" s="3" t="s">
        <v>202</v>
      </c>
      <c r="F58" s="3" t="s">
        <v>582</v>
      </c>
      <c r="G58" s="3" t="s">
        <v>656</v>
      </c>
      <c r="H58" s="3" t="s">
        <v>16</v>
      </c>
      <c r="I58" s="3">
        <v>31</v>
      </c>
      <c r="J58" s="3" t="s">
        <v>502</v>
      </c>
      <c r="K58" s="4">
        <v>46218</v>
      </c>
      <c r="L58" s="3" t="s">
        <v>201</v>
      </c>
      <c r="M58" s="3" t="s">
        <v>657</v>
      </c>
      <c r="N58" s="3" t="s">
        <v>502</v>
      </c>
      <c r="O58" s="3" t="s">
        <v>502</v>
      </c>
      <c r="P58" s="3" t="s">
        <v>201</v>
      </c>
      <c r="Q58" s="3" t="s">
        <v>657</v>
      </c>
      <c r="R58" s="3" t="s">
        <v>9</v>
      </c>
      <c r="S58" s="20">
        <v>-300</v>
      </c>
      <c r="T58" s="3" t="s">
        <v>203</v>
      </c>
      <c r="U58" s="3" t="s">
        <v>502</v>
      </c>
      <c r="V58" s="3" t="s">
        <v>502</v>
      </c>
      <c r="W58" s="3" t="s">
        <v>502</v>
      </c>
    </row>
    <row r="59" spans="1:23" s="3" customFormat="1" x14ac:dyDescent="0.25">
      <c r="A59" s="3" t="s">
        <v>200</v>
      </c>
      <c r="B59" s="3" t="s">
        <v>517</v>
      </c>
      <c r="C59" s="3" t="s">
        <v>86</v>
      </c>
      <c r="D59" s="3" t="s">
        <v>148</v>
      </c>
      <c r="E59" s="3" t="s">
        <v>202</v>
      </c>
      <c r="F59" s="3" t="s">
        <v>584</v>
      </c>
      <c r="G59" s="3" t="s">
        <v>658</v>
      </c>
      <c r="H59" s="3" t="s">
        <v>16</v>
      </c>
      <c r="I59" s="3">
        <v>31</v>
      </c>
      <c r="J59" s="3" t="s">
        <v>502</v>
      </c>
      <c r="K59" s="4">
        <v>46218</v>
      </c>
      <c r="L59" s="3" t="s">
        <v>201</v>
      </c>
      <c r="M59" s="3" t="s">
        <v>657</v>
      </c>
      <c r="N59" s="3" t="s">
        <v>502</v>
      </c>
      <c r="O59" s="3" t="s">
        <v>502</v>
      </c>
      <c r="P59" s="3" t="s">
        <v>201</v>
      </c>
      <c r="Q59" s="3" t="s">
        <v>657</v>
      </c>
      <c r="R59" s="3" t="s">
        <v>9</v>
      </c>
      <c r="S59" s="20">
        <v>-123</v>
      </c>
      <c r="T59" s="3" t="s">
        <v>204</v>
      </c>
      <c r="U59" s="3" t="s">
        <v>502</v>
      </c>
      <c r="V59" s="3" t="s">
        <v>502</v>
      </c>
      <c r="W59" s="3" t="s">
        <v>502</v>
      </c>
    </row>
    <row r="60" spans="1:23" s="3" customFormat="1" x14ac:dyDescent="0.25">
      <c r="A60" s="3" t="s">
        <v>200</v>
      </c>
      <c r="B60" s="3" t="s">
        <v>517</v>
      </c>
      <c r="C60" s="3" t="s">
        <v>86</v>
      </c>
      <c r="D60" s="3" t="s">
        <v>148</v>
      </c>
      <c r="E60" s="3" t="s">
        <v>202</v>
      </c>
      <c r="F60" s="3" t="s">
        <v>584</v>
      </c>
      <c r="G60" s="3" t="s">
        <v>659</v>
      </c>
      <c r="H60" s="3" t="s">
        <v>16</v>
      </c>
      <c r="I60" s="3">
        <v>32</v>
      </c>
      <c r="J60" s="3" t="s">
        <v>502</v>
      </c>
      <c r="K60" s="4">
        <v>46218</v>
      </c>
      <c r="L60" s="3" t="s">
        <v>201</v>
      </c>
      <c r="M60" s="3" t="s">
        <v>657</v>
      </c>
      <c r="N60" s="3" t="s">
        <v>502</v>
      </c>
      <c r="O60" s="3" t="s">
        <v>502</v>
      </c>
      <c r="P60" s="3" t="s">
        <v>201</v>
      </c>
      <c r="Q60" s="3" t="s">
        <v>657</v>
      </c>
      <c r="R60" s="3" t="s">
        <v>9</v>
      </c>
      <c r="S60" s="20">
        <v>-177</v>
      </c>
      <c r="T60" s="3" t="s">
        <v>205</v>
      </c>
      <c r="U60" s="3" t="s">
        <v>502</v>
      </c>
      <c r="V60" s="3" t="s">
        <v>502</v>
      </c>
      <c r="W60" s="3" t="s">
        <v>502</v>
      </c>
    </row>
    <row r="61" spans="1:23" s="3" customFormat="1" x14ac:dyDescent="0.25">
      <c r="A61" s="3" t="s">
        <v>206</v>
      </c>
      <c r="B61" s="3" t="s">
        <v>519</v>
      </c>
      <c r="C61" s="3" t="s">
        <v>86</v>
      </c>
      <c r="D61" s="3" t="s">
        <v>148</v>
      </c>
      <c r="E61" s="3" t="s">
        <v>208</v>
      </c>
      <c r="F61" s="3" t="s">
        <v>582</v>
      </c>
      <c r="G61" s="3" t="s">
        <v>660</v>
      </c>
      <c r="H61" s="3" t="s">
        <v>16</v>
      </c>
      <c r="I61" s="3">
        <v>32</v>
      </c>
      <c r="J61" s="3" t="s">
        <v>502</v>
      </c>
      <c r="K61" s="4">
        <v>46218</v>
      </c>
      <c r="L61" s="3" t="s">
        <v>207</v>
      </c>
      <c r="M61" s="3" t="s">
        <v>661</v>
      </c>
      <c r="N61" s="3" t="s">
        <v>502</v>
      </c>
      <c r="O61" s="3" t="s">
        <v>502</v>
      </c>
      <c r="P61" s="3" t="s">
        <v>207</v>
      </c>
      <c r="Q61" s="3" t="s">
        <v>661</v>
      </c>
      <c r="R61" s="3" t="s">
        <v>9</v>
      </c>
      <c r="S61" s="20">
        <v>-123</v>
      </c>
      <c r="T61" s="3" t="s">
        <v>209</v>
      </c>
      <c r="U61" s="3" t="s">
        <v>502</v>
      </c>
      <c r="V61" s="3" t="s">
        <v>502</v>
      </c>
      <c r="W61" s="3" t="s">
        <v>502</v>
      </c>
    </row>
    <row r="62" spans="1:23" s="3" customFormat="1" x14ac:dyDescent="0.25">
      <c r="A62" s="3" t="s">
        <v>206</v>
      </c>
      <c r="B62" s="3" t="s">
        <v>519</v>
      </c>
      <c r="C62" s="3" t="s">
        <v>86</v>
      </c>
      <c r="D62" s="3" t="s">
        <v>148</v>
      </c>
      <c r="E62" s="3" t="s">
        <v>208</v>
      </c>
      <c r="F62" s="3" t="s">
        <v>582</v>
      </c>
      <c r="G62" s="3" t="s">
        <v>662</v>
      </c>
      <c r="H62" s="3" t="s">
        <v>16</v>
      </c>
      <c r="I62" s="3">
        <v>33</v>
      </c>
      <c r="J62" s="3" t="s">
        <v>502</v>
      </c>
      <c r="K62" s="4">
        <v>46218</v>
      </c>
      <c r="L62" s="3" t="s">
        <v>207</v>
      </c>
      <c r="M62" s="3" t="s">
        <v>661</v>
      </c>
      <c r="N62" s="3" t="s">
        <v>502</v>
      </c>
      <c r="O62" s="3" t="s">
        <v>502</v>
      </c>
      <c r="P62" s="3" t="s">
        <v>207</v>
      </c>
      <c r="Q62" s="3" t="s">
        <v>661</v>
      </c>
      <c r="R62" s="3" t="s">
        <v>9</v>
      </c>
      <c r="S62" s="20">
        <v>-177</v>
      </c>
      <c r="T62" s="3" t="s">
        <v>210</v>
      </c>
      <c r="U62" s="3" t="s">
        <v>502</v>
      </c>
      <c r="V62" s="3" t="s">
        <v>502</v>
      </c>
      <c r="W62" s="3" t="s">
        <v>502</v>
      </c>
    </row>
    <row r="63" spans="1:23" s="3" customFormat="1" x14ac:dyDescent="0.25">
      <c r="A63" s="3" t="s">
        <v>206</v>
      </c>
      <c r="B63" s="3" t="s">
        <v>519</v>
      </c>
      <c r="C63" s="3" t="s">
        <v>86</v>
      </c>
      <c r="D63" s="3" t="s">
        <v>148</v>
      </c>
      <c r="E63" s="3" t="s">
        <v>208</v>
      </c>
      <c r="F63" s="3" t="s">
        <v>584</v>
      </c>
      <c r="G63" s="3" t="s">
        <v>663</v>
      </c>
      <c r="H63" s="3" t="s">
        <v>16</v>
      </c>
      <c r="I63" s="3">
        <v>33</v>
      </c>
      <c r="J63" s="3" t="s">
        <v>502</v>
      </c>
      <c r="K63" s="4">
        <v>46218</v>
      </c>
      <c r="L63" s="3" t="s">
        <v>207</v>
      </c>
      <c r="M63" s="3" t="s">
        <v>661</v>
      </c>
      <c r="N63" s="3" t="s">
        <v>502</v>
      </c>
      <c r="O63" s="3" t="s">
        <v>502</v>
      </c>
      <c r="P63" s="3" t="s">
        <v>207</v>
      </c>
      <c r="Q63" s="3" t="s">
        <v>661</v>
      </c>
      <c r="R63" s="3" t="s">
        <v>9</v>
      </c>
      <c r="S63" s="20">
        <v>-300</v>
      </c>
      <c r="T63" s="3" t="s">
        <v>211</v>
      </c>
      <c r="U63" s="3" t="s">
        <v>502</v>
      </c>
      <c r="V63" s="3" t="s">
        <v>502</v>
      </c>
      <c r="W63" s="3" t="s">
        <v>502</v>
      </c>
    </row>
    <row r="64" spans="1:23" s="3" customFormat="1" x14ac:dyDescent="0.25">
      <c r="A64" s="3" t="s">
        <v>212</v>
      </c>
      <c r="B64" s="3" t="s">
        <v>517</v>
      </c>
      <c r="C64" s="3" t="s">
        <v>86</v>
      </c>
      <c r="D64" s="3" t="s">
        <v>130</v>
      </c>
      <c r="E64" s="3" t="s">
        <v>214</v>
      </c>
      <c r="F64" s="3" t="s">
        <v>582</v>
      </c>
      <c r="G64" s="3" t="s">
        <v>664</v>
      </c>
      <c r="H64" s="3" t="s">
        <v>16</v>
      </c>
      <c r="I64" s="3">
        <v>37</v>
      </c>
      <c r="J64" s="3" t="s">
        <v>502</v>
      </c>
      <c r="K64" s="4">
        <v>46218</v>
      </c>
      <c r="L64" s="3" t="s">
        <v>213</v>
      </c>
      <c r="M64" s="3" t="s">
        <v>213</v>
      </c>
      <c r="N64" s="3" t="s">
        <v>665</v>
      </c>
      <c r="O64" s="3" t="s">
        <v>666</v>
      </c>
      <c r="P64" s="3" t="s">
        <v>502</v>
      </c>
      <c r="Q64" s="3" t="s">
        <v>502</v>
      </c>
      <c r="R64" s="3" t="s">
        <v>9</v>
      </c>
      <c r="S64" s="20">
        <v>6750</v>
      </c>
      <c r="T64" s="3" t="s">
        <v>215</v>
      </c>
      <c r="U64" s="3" t="s">
        <v>502</v>
      </c>
      <c r="V64" s="3" t="s">
        <v>502</v>
      </c>
      <c r="W64" s="3" t="s">
        <v>502</v>
      </c>
    </row>
    <row r="65" spans="1:23" s="3" customFormat="1" x14ac:dyDescent="0.25">
      <c r="A65" s="3" t="s">
        <v>212</v>
      </c>
      <c r="B65" s="3" t="s">
        <v>517</v>
      </c>
      <c r="C65" s="3" t="s">
        <v>86</v>
      </c>
      <c r="D65" s="3" t="s">
        <v>130</v>
      </c>
      <c r="E65" s="3" t="s">
        <v>214</v>
      </c>
      <c r="F65" s="3" t="s">
        <v>584</v>
      </c>
      <c r="G65" s="3" t="s">
        <v>667</v>
      </c>
      <c r="H65" s="3" t="s">
        <v>16</v>
      </c>
      <c r="I65" s="3">
        <v>37</v>
      </c>
      <c r="J65" s="3" t="s">
        <v>502</v>
      </c>
      <c r="K65" s="4">
        <v>46218</v>
      </c>
      <c r="L65" s="3" t="s">
        <v>213</v>
      </c>
      <c r="M65" s="3" t="s">
        <v>213</v>
      </c>
      <c r="N65" s="3" t="s">
        <v>665</v>
      </c>
      <c r="O65" s="3" t="s">
        <v>666</v>
      </c>
      <c r="P65" s="3" t="s">
        <v>502</v>
      </c>
      <c r="Q65" s="3" t="s">
        <v>502</v>
      </c>
      <c r="R65" s="3" t="s">
        <v>9</v>
      </c>
      <c r="S65" s="20">
        <v>2500</v>
      </c>
      <c r="T65" s="3" t="s">
        <v>216</v>
      </c>
      <c r="U65" s="3" t="s">
        <v>502</v>
      </c>
      <c r="V65" s="3" t="s">
        <v>502</v>
      </c>
      <c r="W65" s="3" t="s">
        <v>502</v>
      </c>
    </row>
    <row r="66" spans="1:23" s="3" customFormat="1" x14ac:dyDescent="0.25">
      <c r="A66" s="3" t="s">
        <v>212</v>
      </c>
      <c r="B66" s="3" t="s">
        <v>517</v>
      </c>
      <c r="C66" s="3" t="s">
        <v>86</v>
      </c>
      <c r="D66" s="3" t="s">
        <v>130</v>
      </c>
      <c r="E66" s="3" t="s">
        <v>214</v>
      </c>
      <c r="F66" s="3" t="s">
        <v>584</v>
      </c>
      <c r="G66" s="3" t="s">
        <v>668</v>
      </c>
      <c r="H66" s="3" t="s">
        <v>16</v>
      </c>
      <c r="I66" s="3">
        <v>38</v>
      </c>
      <c r="J66" s="3" t="s">
        <v>502</v>
      </c>
      <c r="K66" s="4">
        <v>46218</v>
      </c>
      <c r="L66" s="3" t="s">
        <v>213</v>
      </c>
      <c r="M66" s="3" t="s">
        <v>213</v>
      </c>
      <c r="N66" s="3" t="s">
        <v>665</v>
      </c>
      <c r="O66" s="3" t="s">
        <v>666</v>
      </c>
      <c r="P66" s="3" t="s">
        <v>502</v>
      </c>
      <c r="Q66" s="3" t="s">
        <v>502</v>
      </c>
      <c r="R66" s="3" t="s">
        <v>9</v>
      </c>
      <c r="S66" s="20">
        <v>2250</v>
      </c>
      <c r="T66" s="3" t="s">
        <v>217</v>
      </c>
      <c r="U66" s="3" t="s">
        <v>502</v>
      </c>
      <c r="V66" s="3" t="s">
        <v>502</v>
      </c>
      <c r="W66" s="3" t="s">
        <v>502</v>
      </c>
    </row>
    <row r="67" spans="1:23" s="3" customFormat="1" x14ac:dyDescent="0.25">
      <c r="A67" s="3" t="s">
        <v>212</v>
      </c>
      <c r="B67" s="3" t="s">
        <v>517</v>
      </c>
      <c r="C67" s="3" t="s">
        <v>86</v>
      </c>
      <c r="D67" s="3" t="s">
        <v>130</v>
      </c>
      <c r="E67" s="3" t="s">
        <v>214</v>
      </c>
      <c r="F67" s="3" t="s">
        <v>584</v>
      </c>
      <c r="G67" s="3" t="s">
        <v>669</v>
      </c>
      <c r="H67" s="3" t="s">
        <v>16</v>
      </c>
      <c r="I67" s="3">
        <v>39</v>
      </c>
      <c r="J67" s="3" t="s">
        <v>502</v>
      </c>
      <c r="K67" s="4">
        <v>46218</v>
      </c>
      <c r="L67" s="3" t="s">
        <v>213</v>
      </c>
      <c r="M67" s="3" t="s">
        <v>213</v>
      </c>
      <c r="N67" s="3" t="s">
        <v>665</v>
      </c>
      <c r="O67" s="3" t="s">
        <v>666</v>
      </c>
      <c r="P67" s="3" t="s">
        <v>502</v>
      </c>
      <c r="Q67" s="3" t="s">
        <v>502</v>
      </c>
      <c r="R67" s="3" t="s">
        <v>9</v>
      </c>
      <c r="S67" s="20">
        <v>2000</v>
      </c>
      <c r="T67" s="3" t="s">
        <v>218</v>
      </c>
      <c r="U67" s="3" t="s">
        <v>502</v>
      </c>
      <c r="V67" s="3" t="s">
        <v>502</v>
      </c>
      <c r="W67" s="3" t="s">
        <v>502</v>
      </c>
    </row>
    <row r="68" spans="1:23" s="3" customFormat="1" x14ac:dyDescent="0.25">
      <c r="A68" s="3" t="s">
        <v>219</v>
      </c>
      <c r="B68" s="3" t="s">
        <v>519</v>
      </c>
      <c r="C68" s="3" t="s">
        <v>86</v>
      </c>
      <c r="D68" s="3" t="s">
        <v>130</v>
      </c>
      <c r="E68" s="3" t="s">
        <v>221</v>
      </c>
      <c r="F68" s="3" t="s">
        <v>582</v>
      </c>
      <c r="G68" s="3" t="s">
        <v>670</v>
      </c>
      <c r="H68" s="3" t="s">
        <v>16</v>
      </c>
      <c r="I68" s="3">
        <v>38</v>
      </c>
      <c r="J68" s="3" t="s">
        <v>502</v>
      </c>
      <c r="K68" s="4">
        <v>46218</v>
      </c>
      <c r="L68" s="3" t="s">
        <v>220</v>
      </c>
      <c r="M68" s="3" t="s">
        <v>220</v>
      </c>
      <c r="N68" s="3" t="s">
        <v>671</v>
      </c>
      <c r="O68" s="3" t="s">
        <v>672</v>
      </c>
      <c r="P68" s="3" t="s">
        <v>502</v>
      </c>
      <c r="Q68" s="3" t="s">
        <v>502</v>
      </c>
      <c r="R68" s="3" t="s">
        <v>9</v>
      </c>
      <c r="S68" s="20">
        <v>2500</v>
      </c>
      <c r="T68" s="3" t="s">
        <v>222</v>
      </c>
      <c r="U68" s="3" t="s">
        <v>502</v>
      </c>
      <c r="V68" s="3" t="s">
        <v>502</v>
      </c>
      <c r="W68" s="3" t="s">
        <v>502</v>
      </c>
    </row>
    <row r="69" spans="1:23" s="3" customFormat="1" x14ac:dyDescent="0.25">
      <c r="A69" s="3" t="s">
        <v>219</v>
      </c>
      <c r="B69" s="3" t="s">
        <v>519</v>
      </c>
      <c r="C69" s="3" t="s">
        <v>86</v>
      </c>
      <c r="D69" s="3" t="s">
        <v>130</v>
      </c>
      <c r="E69" s="3" t="s">
        <v>221</v>
      </c>
      <c r="F69" s="3" t="s">
        <v>582</v>
      </c>
      <c r="G69" s="3" t="s">
        <v>673</v>
      </c>
      <c r="H69" s="3" t="s">
        <v>16</v>
      </c>
      <c r="I69" s="3">
        <v>39</v>
      </c>
      <c r="J69" s="3" t="s">
        <v>502</v>
      </c>
      <c r="K69" s="4">
        <v>46218</v>
      </c>
      <c r="L69" s="3" t="s">
        <v>220</v>
      </c>
      <c r="M69" s="3" t="s">
        <v>220</v>
      </c>
      <c r="N69" s="3" t="s">
        <v>671</v>
      </c>
      <c r="O69" s="3" t="s">
        <v>672</v>
      </c>
      <c r="P69" s="3" t="s">
        <v>502</v>
      </c>
      <c r="Q69" s="3" t="s">
        <v>502</v>
      </c>
      <c r="R69" s="3" t="s">
        <v>9</v>
      </c>
      <c r="S69" s="20">
        <v>2250</v>
      </c>
      <c r="T69" s="3" t="s">
        <v>223</v>
      </c>
      <c r="U69" s="3" t="s">
        <v>502</v>
      </c>
      <c r="V69" s="3" t="s">
        <v>502</v>
      </c>
      <c r="W69" s="3" t="s">
        <v>502</v>
      </c>
    </row>
    <row r="70" spans="1:23" s="3" customFormat="1" x14ac:dyDescent="0.25">
      <c r="A70" s="3" t="s">
        <v>219</v>
      </c>
      <c r="B70" s="3" t="s">
        <v>519</v>
      </c>
      <c r="C70" s="3" t="s">
        <v>86</v>
      </c>
      <c r="D70" s="3" t="s">
        <v>130</v>
      </c>
      <c r="E70" s="3" t="s">
        <v>221</v>
      </c>
      <c r="F70" s="3" t="s">
        <v>582</v>
      </c>
      <c r="G70" s="3" t="s">
        <v>674</v>
      </c>
      <c r="H70" s="3" t="s">
        <v>16</v>
      </c>
      <c r="I70" s="3">
        <v>40</v>
      </c>
      <c r="J70" s="3" t="s">
        <v>502</v>
      </c>
      <c r="K70" s="4">
        <v>46218</v>
      </c>
      <c r="L70" s="3" t="s">
        <v>220</v>
      </c>
      <c r="M70" s="3" t="s">
        <v>220</v>
      </c>
      <c r="N70" s="3" t="s">
        <v>671</v>
      </c>
      <c r="O70" s="3" t="s">
        <v>672</v>
      </c>
      <c r="P70" s="3" t="s">
        <v>502</v>
      </c>
      <c r="Q70" s="3" t="s">
        <v>502</v>
      </c>
      <c r="R70" s="3" t="s">
        <v>9</v>
      </c>
      <c r="S70" s="20">
        <v>2000</v>
      </c>
      <c r="T70" s="3" t="s">
        <v>224</v>
      </c>
      <c r="U70" s="3" t="s">
        <v>502</v>
      </c>
      <c r="V70" s="3" t="s">
        <v>502</v>
      </c>
      <c r="W70" s="3" t="s">
        <v>502</v>
      </c>
    </row>
    <row r="71" spans="1:23" s="3" customFormat="1" x14ac:dyDescent="0.25">
      <c r="A71" s="3" t="s">
        <v>219</v>
      </c>
      <c r="B71" s="3" t="s">
        <v>519</v>
      </c>
      <c r="C71" s="3" t="s">
        <v>86</v>
      </c>
      <c r="D71" s="3" t="s">
        <v>130</v>
      </c>
      <c r="E71" s="3" t="s">
        <v>221</v>
      </c>
      <c r="F71" s="3" t="s">
        <v>584</v>
      </c>
      <c r="G71" s="3" t="s">
        <v>675</v>
      </c>
      <c r="H71" s="3" t="s">
        <v>16</v>
      </c>
      <c r="I71" s="3">
        <v>40</v>
      </c>
      <c r="J71" s="3" t="s">
        <v>502</v>
      </c>
      <c r="K71" s="4">
        <v>46218</v>
      </c>
      <c r="L71" s="3" t="s">
        <v>220</v>
      </c>
      <c r="M71" s="3" t="s">
        <v>220</v>
      </c>
      <c r="N71" s="3" t="s">
        <v>671</v>
      </c>
      <c r="O71" s="3" t="s">
        <v>672</v>
      </c>
      <c r="P71" s="3" t="s">
        <v>502</v>
      </c>
      <c r="Q71" s="3" t="s">
        <v>502</v>
      </c>
      <c r="R71" s="3" t="s">
        <v>9</v>
      </c>
      <c r="S71" s="20">
        <v>6750</v>
      </c>
      <c r="T71" s="3" t="s">
        <v>225</v>
      </c>
      <c r="U71" s="3" t="s">
        <v>502</v>
      </c>
      <c r="V71" s="3" t="s">
        <v>502</v>
      </c>
      <c r="W71" s="3" t="s">
        <v>502</v>
      </c>
    </row>
    <row r="72" spans="1:23" s="3" customFormat="1" x14ac:dyDescent="0.25">
      <c r="A72" s="3" t="s">
        <v>226</v>
      </c>
      <c r="B72" s="3" t="s">
        <v>517</v>
      </c>
      <c r="C72" s="3" t="s">
        <v>86</v>
      </c>
      <c r="D72" s="3" t="s">
        <v>148</v>
      </c>
      <c r="E72" s="3" t="s">
        <v>228</v>
      </c>
      <c r="F72" s="3" t="s">
        <v>582</v>
      </c>
      <c r="G72" s="3" t="s">
        <v>676</v>
      </c>
      <c r="H72" s="3" t="s">
        <v>16</v>
      </c>
      <c r="I72" s="3">
        <v>41</v>
      </c>
      <c r="J72" s="3" t="s">
        <v>502</v>
      </c>
      <c r="K72" s="4">
        <v>46218</v>
      </c>
      <c r="L72" s="3" t="s">
        <v>227</v>
      </c>
      <c r="M72" s="3" t="s">
        <v>677</v>
      </c>
      <c r="N72" s="3" t="s">
        <v>502</v>
      </c>
      <c r="O72" s="3" t="s">
        <v>502</v>
      </c>
      <c r="P72" s="3" t="s">
        <v>227</v>
      </c>
      <c r="Q72" s="3" t="s">
        <v>677</v>
      </c>
      <c r="R72" s="3" t="s">
        <v>9</v>
      </c>
      <c r="S72" s="20">
        <v>-300</v>
      </c>
      <c r="T72" s="3" t="s">
        <v>229</v>
      </c>
      <c r="U72" s="3" t="s">
        <v>502</v>
      </c>
      <c r="V72" s="3" t="s">
        <v>502</v>
      </c>
      <c r="W72" s="3" t="s">
        <v>502</v>
      </c>
    </row>
    <row r="73" spans="1:23" s="3" customFormat="1" x14ac:dyDescent="0.25">
      <c r="A73" s="3" t="s">
        <v>226</v>
      </c>
      <c r="B73" s="3" t="s">
        <v>517</v>
      </c>
      <c r="C73" s="3" t="s">
        <v>86</v>
      </c>
      <c r="D73" s="3" t="s">
        <v>148</v>
      </c>
      <c r="E73" s="3" t="s">
        <v>228</v>
      </c>
      <c r="F73" s="3" t="s">
        <v>584</v>
      </c>
      <c r="G73" s="3" t="s">
        <v>678</v>
      </c>
      <c r="H73" s="3" t="s">
        <v>16</v>
      </c>
      <c r="I73" s="3">
        <v>41</v>
      </c>
      <c r="J73" s="3" t="s">
        <v>502</v>
      </c>
      <c r="K73" s="4">
        <v>46218</v>
      </c>
      <c r="L73" s="3" t="s">
        <v>227</v>
      </c>
      <c r="M73" s="3" t="s">
        <v>677</v>
      </c>
      <c r="N73" s="3" t="s">
        <v>502</v>
      </c>
      <c r="O73" s="3" t="s">
        <v>502</v>
      </c>
      <c r="P73" s="3" t="s">
        <v>227</v>
      </c>
      <c r="Q73" s="3" t="s">
        <v>677</v>
      </c>
      <c r="R73" s="3" t="s">
        <v>9</v>
      </c>
      <c r="S73" s="20">
        <v>-123</v>
      </c>
      <c r="T73" s="3" t="s">
        <v>230</v>
      </c>
      <c r="U73" s="3" t="s">
        <v>502</v>
      </c>
      <c r="V73" s="3" t="s">
        <v>502</v>
      </c>
      <c r="W73" s="3" t="s">
        <v>502</v>
      </c>
    </row>
    <row r="74" spans="1:23" s="3" customFormat="1" x14ac:dyDescent="0.25">
      <c r="A74" s="3" t="s">
        <v>226</v>
      </c>
      <c r="B74" s="3" t="s">
        <v>517</v>
      </c>
      <c r="C74" s="3" t="s">
        <v>86</v>
      </c>
      <c r="D74" s="3" t="s">
        <v>148</v>
      </c>
      <c r="E74" s="3" t="s">
        <v>228</v>
      </c>
      <c r="F74" s="3" t="s">
        <v>584</v>
      </c>
      <c r="G74" s="3" t="s">
        <v>679</v>
      </c>
      <c r="H74" s="3" t="s">
        <v>16</v>
      </c>
      <c r="I74" s="3">
        <v>42</v>
      </c>
      <c r="J74" s="3" t="s">
        <v>502</v>
      </c>
      <c r="K74" s="4">
        <v>46218</v>
      </c>
      <c r="L74" s="3" t="s">
        <v>227</v>
      </c>
      <c r="M74" s="3" t="s">
        <v>677</v>
      </c>
      <c r="N74" s="3" t="s">
        <v>502</v>
      </c>
      <c r="O74" s="3" t="s">
        <v>502</v>
      </c>
      <c r="P74" s="3" t="s">
        <v>227</v>
      </c>
      <c r="Q74" s="3" t="s">
        <v>677</v>
      </c>
      <c r="R74" s="3" t="s">
        <v>9</v>
      </c>
      <c r="S74" s="20">
        <v>-177</v>
      </c>
      <c r="T74" s="3" t="s">
        <v>231</v>
      </c>
      <c r="U74" s="3" t="s">
        <v>502</v>
      </c>
      <c r="V74" s="3" t="s">
        <v>502</v>
      </c>
      <c r="W74" s="3" t="s">
        <v>502</v>
      </c>
    </row>
    <row r="75" spans="1:23" s="3" customFormat="1" x14ac:dyDescent="0.25">
      <c r="A75" s="3" t="s">
        <v>232</v>
      </c>
      <c r="B75" s="3" t="s">
        <v>519</v>
      </c>
      <c r="C75" s="3" t="s">
        <v>86</v>
      </c>
      <c r="D75" s="3" t="s">
        <v>148</v>
      </c>
      <c r="E75" s="3" t="s">
        <v>234</v>
      </c>
      <c r="F75" s="3" t="s">
        <v>582</v>
      </c>
      <c r="G75" s="3" t="s">
        <v>680</v>
      </c>
      <c r="H75" s="3" t="s">
        <v>16</v>
      </c>
      <c r="I75" s="3">
        <v>42</v>
      </c>
      <c r="J75" s="3" t="s">
        <v>502</v>
      </c>
      <c r="K75" s="4">
        <v>46218</v>
      </c>
      <c r="L75" s="3" t="s">
        <v>233</v>
      </c>
      <c r="M75" s="3" t="s">
        <v>681</v>
      </c>
      <c r="N75" s="3" t="s">
        <v>502</v>
      </c>
      <c r="O75" s="3" t="s">
        <v>502</v>
      </c>
      <c r="P75" s="3" t="s">
        <v>233</v>
      </c>
      <c r="Q75" s="3" t="s">
        <v>681</v>
      </c>
      <c r="R75" s="3" t="s">
        <v>9</v>
      </c>
      <c r="S75" s="20">
        <v>-123</v>
      </c>
      <c r="T75" s="3" t="s">
        <v>235</v>
      </c>
      <c r="U75" s="3" t="s">
        <v>502</v>
      </c>
      <c r="V75" s="3" t="s">
        <v>502</v>
      </c>
      <c r="W75" s="3" t="s">
        <v>502</v>
      </c>
    </row>
    <row r="76" spans="1:23" s="3" customFormat="1" x14ac:dyDescent="0.25">
      <c r="A76" s="3" t="s">
        <v>232</v>
      </c>
      <c r="B76" s="3" t="s">
        <v>519</v>
      </c>
      <c r="C76" s="3" t="s">
        <v>86</v>
      </c>
      <c r="D76" s="3" t="s">
        <v>148</v>
      </c>
      <c r="E76" s="3" t="s">
        <v>234</v>
      </c>
      <c r="F76" s="3" t="s">
        <v>582</v>
      </c>
      <c r="G76" s="3" t="s">
        <v>682</v>
      </c>
      <c r="H76" s="3" t="s">
        <v>16</v>
      </c>
      <c r="I76" s="3">
        <v>43</v>
      </c>
      <c r="J76" s="3" t="s">
        <v>502</v>
      </c>
      <c r="K76" s="4">
        <v>46218</v>
      </c>
      <c r="L76" s="3" t="s">
        <v>233</v>
      </c>
      <c r="M76" s="3" t="s">
        <v>681</v>
      </c>
      <c r="N76" s="3" t="s">
        <v>502</v>
      </c>
      <c r="O76" s="3" t="s">
        <v>502</v>
      </c>
      <c r="P76" s="3" t="s">
        <v>233</v>
      </c>
      <c r="Q76" s="3" t="s">
        <v>681</v>
      </c>
      <c r="R76" s="3" t="s">
        <v>9</v>
      </c>
      <c r="S76" s="20">
        <v>-177</v>
      </c>
      <c r="T76" s="3" t="s">
        <v>236</v>
      </c>
      <c r="U76" s="3" t="s">
        <v>502</v>
      </c>
      <c r="V76" s="3" t="s">
        <v>502</v>
      </c>
      <c r="W76" s="3" t="s">
        <v>502</v>
      </c>
    </row>
    <row r="77" spans="1:23" s="3" customFormat="1" x14ac:dyDescent="0.25">
      <c r="A77" s="3" t="s">
        <v>232</v>
      </c>
      <c r="B77" s="3" t="s">
        <v>519</v>
      </c>
      <c r="C77" s="3" t="s">
        <v>86</v>
      </c>
      <c r="D77" s="3" t="s">
        <v>148</v>
      </c>
      <c r="E77" s="3" t="s">
        <v>234</v>
      </c>
      <c r="F77" s="3" t="s">
        <v>584</v>
      </c>
      <c r="G77" s="3" t="s">
        <v>683</v>
      </c>
      <c r="H77" s="3" t="s">
        <v>16</v>
      </c>
      <c r="I77" s="3">
        <v>43</v>
      </c>
      <c r="J77" s="3" t="s">
        <v>502</v>
      </c>
      <c r="K77" s="4">
        <v>46218</v>
      </c>
      <c r="L77" s="3" t="s">
        <v>233</v>
      </c>
      <c r="M77" s="3" t="s">
        <v>681</v>
      </c>
      <c r="N77" s="3" t="s">
        <v>502</v>
      </c>
      <c r="O77" s="3" t="s">
        <v>502</v>
      </c>
      <c r="P77" s="3" t="s">
        <v>233</v>
      </c>
      <c r="Q77" s="3" t="s">
        <v>681</v>
      </c>
      <c r="R77" s="3" t="s">
        <v>9</v>
      </c>
      <c r="S77" s="20">
        <v>-300</v>
      </c>
      <c r="T77" s="3" t="s">
        <v>237</v>
      </c>
      <c r="U77" s="3" t="s">
        <v>502</v>
      </c>
      <c r="V77" s="3" t="s">
        <v>502</v>
      </c>
      <c r="W77" s="3" t="s">
        <v>502</v>
      </c>
    </row>
    <row r="78" spans="1:23" s="3" customFormat="1" x14ac:dyDescent="0.25">
      <c r="A78" s="3" t="s">
        <v>238</v>
      </c>
      <c r="B78" s="3" t="s">
        <v>517</v>
      </c>
      <c r="C78" s="3" t="s">
        <v>86</v>
      </c>
      <c r="D78" s="3" t="s">
        <v>130</v>
      </c>
      <c r="E78" s="3" t="s">
        <v>240</v>
      </c>
      <c r="F78" s="3" t="s">
        <v>582</v>
      </c>
      <c r="G78" s="3" t="s">
        <v>684</v>
      </c>
      <c r="H78" s="3" t="s">
        <v>16</v>
      </c>
      <c r="I78" s="3">
        <v>47</v>
      </c>
      <c r="J78" s="3" t="s">
        <v>502</v>
      </c>
      <c r="K78" s="4">
        <v>46218</v>
      </c>
      <c r="L78" s="3" t="s">
        <v>239</v>
      </c>
      <c r="M78" s="3" t="s">
        <v>239</v>
      </c>
      <c r="N78" s="3" t="s">
        <v>685</v>
      </c>
      <c r="O78" s="3" t="s">
        <v>686</v>
      </c>
      <c r="P78" s="3" t="s">
        <v>502</v>
      </c>
      <c r="Q78" s="3" t="s">
        <v>502</v>
      </c>
      <c r="R78" s="3" t="s">
        <v>9</v>
      </c>
      <c r="S78" s="20">
        <v>6750</v>
      </c>
      <c r="T78" s="3" t="s">
        <v>241</v>
      </c>
      <c r="U78" s="3" t="s">
        <v>502</v>
      </c>
      <c r="V78" s="3" t="s">
        <v>502</v>
      </c>
      <c r="W78" s="3" t="s">
        <v>502</v>
      </c>
    </row>
    <row r="79" spans="1:23" s="3" customFormat="1" x14ac:dyDescent="0.25">
      <c r="A79" s="3" t="s">
        <v>238</v>
      </c>
      <c r="B79" s="3" t="s">
        <v>517</v>
      </c>
      <c r="C79" s="3" t="s">
        <v>86</v>
      </c>
      <c r="D79" s="3" t="s">
        <v>130</v>
      </c>
      <c r="E79" s="3" t="s">
        <v>240</v>
      </c>
      <c r="F79" s="3" t="s">
        <v>584</v>
      </c>
      <c r="G79" s="3" t="s">
        <v>687</v>
      </c>
      <c r="H79" s="3" t="s">
        <v>16</v>
      </c>
      <c r="I79" s="3">
        <v>47</v>
      </c>
      <c r="J79" s="3" t="s">
        <v>502</v>
      </c>
      <c r="K79" s="4">
        <v>46218</v>
      </c>
      <c r="L79" s="3" t="s">
        <v>239</v>
      </c>
      <c r="M79" s="3" t="s">
        <v>239</v>
      </c>
      <c r="N79" s="3" t="s">
        <v>685</v>
      </c>
      <c r="O79" s="3" t="s">
        <v>686</v>
      </c>
      <c r="P79" s="3" t="s">
        <v>502</v>
      </c>
      <c r="Q79" s="3" t="s">
        <v>502</v>
      </c>
      <c r="R79" s="3" t="s">
        <v>9</v>
      </c>
      <c r="S79" s="20">
        <v>2500</v>
      </c>
      <c r="T79" s="3" t="s">
        <v>242</v>
      </c>
      <c r="U79" s="3" t="s">
        <v>502</v>
      </c>
      <c r="V79" s="3" t="s">
        <v>502</v>
      </c>
      <c r="W79" s="3" t="s">
        <v>502</v>
      </c>
    </row>
    <row r="80" spans="1:23" s="3" customFormat="1" x14ac:dyDescent="0.25">
      <c r="A80" s="3" t="s">
        <v>238</v>
      </c>
      <c r="B80" s="3" t="s">
        <v>517</v>
      </c>
      <c r="C80" s="3" t="s">
        <v>86</v>
      </c>
      <c r="D80" s="3" t="s">
        <v>130</v>
      </c>
      <c r="E80" s="3" t="s">
        <v>240</v>
      </c>
      <c r="F80" s="3" t="s">
        <v>584</v>
      </c>
      <c r="G80" s="3" t="s">
        <v>688</v>
      </c>
      <c r="H80" s="3" t="s">
        <v>16</v>
      </c>
      <c r="I80" s="3">
        <v>48</v>
      </c>
      <c r="J80" s="3" t="s">
        <v>502</v>
      </c>
      <c r="K80" s="4">
        <v>46218</v>
      </c>
      <c r="L80" s="3" t="s">
        <v>239</v>
      </c>
      <c r="M80" s="3" t="s">
        <v>239</v>
      </c>
      <c r="N80" s="3" t="s">
        <v>685</v>
      </c>
      <c r="O80" s="3" t="s">
        <v>686</v>
      </c>
      <c r="P80" s="3" t="s">
        <v>502</v>
      </c>
      <c r="Q80" s="3" t="s">
        <v>502</v>
      </c>
      <c r="R80" s="3" t="s">
        <v>9</v>
      </c>
      <c r="S80" s="20">
        <v>2250</v>
      </c>
      <c r="T80" s="3" t="s">
        <v>243</v>
      </c>
      <c r="U80" s="3" t="s">
        <v>502</v>
      </c>
      <c r="V80" s="3" t="s">
        <v>502</v>
      </c>
      <c r="W80" s="3" t="s">
        <v>502</v>
      </c>
    </row>
    <row r="81" spans="1:23" s="3" customFormat="1" x14ac:dyDescent="0.25">
      <c r="A81" s="3" t="s">
        <v>238</v>
      </c>
      <c r="B81" s="3" t="s">
        <v>517</v>
      </c>
      <c r="C81" s="3" t="s">
        <v>86</v>
      </c>
      <c r="D81" s="3" t="s">
        <v>130</v>
      </c>
      <c r="E81" s="3" t="s">
        <v>240</v>
      </c>
      <c r="F81" s="3" t="s">
        <v>584</v>
      </c>
      <c r="G81" s="3" t="s">
        <v>689</v>
      </c>
      <c r="H81" s="3" t="s">
        <v>16</v>
      </c>
      <c r="I81" s="3">
        <v>49</v>
      </c>
      <c r="J81" s="3" t="s">
        <v>502</v>
      </c>
      <c r="K81" s="4">
        <v>46218</v>
      </c>
      <c r="L81" s="3" t="s">
        <v>239</v>
      </c>
      <c r="M81" s="3" t="s">
        <v>239</v>
      </c>
      <c r="N81" s="3" t="s">
        <v>685</v>
      </c>
      <c r="O81" s="3" t="s">
        <v>686</v>
      </c>
      <c r="P81" s="3" t="s">
        <v>502</v>
      </c>
      <c r="Q81" s="3" t="s">
        <v>502</v>
      </c>
      <c r="R81" s="3" t="s">
        <v>9</v>
      </c>
      <c r="S81" s="20">
        <v>2000</v>
      </c>
      <c r="T81" s="3" t="s">
        <v>244</v>
      </c>
      <c r="U81" s="3" t="s">
        <v>502</v>
      </c>
      <c r="V81" s="3" t="s">
        <v>502</v>
      </c>
      <c r="W81" s="3" t="s">
        <v>502</v>
      </c>
    </row>
    <row r="82" spans="1:23" s="3" customFormat="1" x14ac:dyDescent="0.25">
      <c r="A82" s="3" t="s">
        <v>245</v>
      </c>
      <c r="B82" s="3" t="s">
        <v>519</v>
      </c>
      <c r="C82" s="3" t="s">
        <v>86</v>
      </c>
      <c r="D82" s="3" t="s">
        <v>130</v>
      </c>
      <c r="E82" s="3" t="s">
        <v>247</v>
      </c>
      <c r="F82" s="3" t="s">
        <v>582</v>
      </c>
      <c r="G82" s="3" t="s">
        <v>690</v>
      </c>
      <c r="H82" s="3" t="s">
        <v>16</v>
      </c>
      <c r="I82" s="3">
        <v>48</v>
      </c>
      <c r="J82" s="3" t="s">
        <v>502</v>
      </c>
      <c r="K82" s="4">
        <v>46218</v>
      </c>
      <c r="L82" s="3" t="s">
        <v>246</v>
      </c>
      <c r="M82" s="3" t="s">
        <v>246</v>
      </c>
      <c r="N82" s="3" t="s">
        <v>691</v>
      </c>
      <c r="O82" s="3" t="s">
        <v>692</v>
      </c>
      <c r="P82" s="3" t="s">
        <v>502</v>
      </c>
      <c r="Q82" s="3" t="s">
        <v>502</v>
      </c>
      <c r="R82" s="3" t="s">
        <v>9</v>
      </c>
      <c r="S82" s="20">
        <v>2500</v>
      </c>
      <c r="T82" s="3" t="s">
        <v>248</v>
      </c>
      <c r="U82" s="3" t="s">
        <v>502</v>
      </c>
      <c r="V82" s="3" t="s">
        <v>502</v>
      </c>
      <c r="W82" s="3" t="s">
        <v>502</v>
      </c>
    </row>
    <row r="83" spans="1:23" s="3" customFormat="1" x14ac:dyDescent="0.25">
      <c r="A83" s="3" t="s">
        <v>245</v>
      </c>
      <c r="B83" s="3" t="s">
        <v>519</v>
      </c>
      <c r="C83" s="3" t="s">
        <v>86</v>
      </c>
      <c r="D83" s="3" t="s">
        <v>130</v>
      </c>
      <c r="E83" s="3" t="s">
        <v>247</v>
      </c>
      <c r="F83" s="3" t="s">
        <v>582</v>
      </c>
      <c r="G83" s="3" t="s">
        <v>693</v>
      </c>
      <c r="H83" s="3" t="s">
        <v>16</v>
      </c>
      <c r="I83" s="3">
        <v>49</v>
      </c>
      <c r="J83" s="3" t="s">
        <v>502</v>
      </c>
      <c r="K83" s="4">
        <v>46218</v>
      </c>
      <c r="L83" s="3" t="s">
        <v>246</v>
      </c>
      <c r="M83" s="3" t="s">
        <v>246</v>
      </c>
      <c r="N83" s="3" t="s">
        <v>691</v>
      </c>
      <c r="O83" s="3" t="s">
        <v>692</v>
      </c>
      <c r="P83" s="3" t="s">
        <v>502</v>
      </c>
      <c r="Q83" s="3" t="s">
        <v>502</v>
      </c>
      <c r="R83" s="3" t="s">
        <v>9</v>
      </c>
      <c r="S83" s="20">
        <v>2250</v>
      </c>
      <c r="T83" s="3" t="s">
        <v>249</v>
      </c>
      <c r="U83" s="3" t="s">
        <v>502</v>
      </c>
      <c r="V83" s="3" t="s">
        <v>502</v>
      </c>
      <c r="W83" s="3" t="s">
        <v>502</v>
      </c>
    </row>
    <row r="84" spans="1:23" s="3" customFormat="1" x14ac:dyDescent="0.25">
      <c r="A84" s="3" t="s">
        <v>245</v>
      </c>
      <c r="B84" s="3" t="s">
        <v>519</v>
      </c>
      <c r="C84" s="3" t="s">
        <v>86</v>
      </c>
      <c r="D84" s="3" t="s">
        <v>130</v>
      </c>
      <c r="E84" s="3" t="s">
        <v>247</v>
      </c>
      <c r="F84" s="3" t="s">
        <v>582</v>
      </c>
      <c r="G84" s="3" t="s">
        <v>694</v>
      </c>
      <c r="H84" s="3" t="s">
        <v>16</v>
      </c>
      <c r="I84" s="3">
        <v>50</v>
      </c>
      <c r="J84" s="3" t="s">
        <v>502</v>
      </c>
      <c r="K84" s="4">
        <v>46218</v>
      </c>
      <c r="L84" s="3" t="s">
        <v>246</v>
      </c>
      <c r="M84" s="3" t="s">
        <v>246</v>
      </c>
      <c r="N84" s="3" t="s">
        <v>691</v>
      </c>
      <c r="O84" s="3" t="s">
        <v>692</v>
      </c>
      <c r="P84" s="3" t="s">
        <v>502</v>
      </c>
      <c r="Q84" s="3" t="s">
        <v>502</v>
      </c>
      <c r="R84" s="3" t="s">
        <v>9</v>
      </c>
      <c r="S84" s="20">
        <v>2000</v>
      </c>
      <c r="T84" s="3" t="s">
        <v>250</v>
      </c>
      <c r="U84" s="3" t="s">
        <v>502</v>
      </c>
      <c r="V84" s="3" t="s">
        <v>502</v>
      </c>
      <c r="W84" s="3" t="s">
        <v>502</v>
      </c>
    </row>
    <row r="85" spans="1:23" s="3" customFormat="1" x14ac:dyDescent="0.25">
      <c r="A85" s="3" t="s">
        <v>245</v>
      </c>
      <c r="B85" s="3" t="s">
        <v>519</v>
      </c>
      <c r="C85" s="3" t="s">
        <v>86</v>
      </c>
      <c r="D85" s="3" t="s">
        <v>130</v>
      </c>
      <c r="E85" s="3" t="s">
        <v>247</v>
      </c>
      <c r="F85" s="3" t="s">
        <v>584</v>
      </c>
      <c r="G85" s="3" t="s">
        <v>695</v>
      </c>
      <c r="H85" s="3" t="s">
        <v>16</v>
      </c>
      <c r="I85" s="3">
        <v>50</v>
      </c>
      <c r="J85" s="3" t="s">
        <v>502</v>
      </c>
      <c r="K85" s="4">
        <v>46218</v>
      </c>
      <c r="L85" s="3" t="s">
        <v>246</v>
      </c>
      <c r="M85" s="3" t="s">
        <v>246</v>
      </c>
      <c r="N85" s="3" t="s">
        <v>691</v>
      </c>
      <c r="O85" s="3" t="s">
        <v>692</v>
      </c>
      <c r="P85" s="3" t="s">
        <v>502</v>
      </c>
      <c r="Q85" s="3" t="s">
        <v>502</v>
      </c>
      <c r="R85" s="3" t="s">
        <v>9</v>
      </c>
      <c r="S85" s="20">
        <v>6750</v>
      </c>
      <c r="T85" s="3" t="s">
        <v>251</v>
      </c>
      <c r="U85" s="3" t="s">
        <v>502</v>
      </c>
      <c r="V85" s="3" t="s">
        <v>502</v>
      </c>
      <c r="W85" s="3" t="s">
        <v>502</v>
      </c>
    </row>
    <row r="86" spans="1:23" s="3" customFormat="1" x14ac:dyDescent="0.25">
      <c r="A86" s="3" t="s">
        <v>252</v>
      </c>
      <c r="B86" s="3" t="s">
        <v>517</v>
      </c>
      <c r="C86" s="3" t="s">
        <v>86</v>
      </c>
      <c r="D86" s="3" t="s">
        <v>148</v>
      </c>
      <c r="E86" s="3" t="s">
        <v>254</v>
      </c>
      <c r="F86" s="3" t="s">
        <v>582</v>
      </c>
      <c r="G86" s="3" t="s">
        <v>696</v>
      </c>
      <c r="H86" s="3" t="s">
        <v>16</v>
      </c>
      <c r="I86" s="3">
        <v>51</v>
      </c>
      <c r="J86" s="3" t="s">
        <v>502</v>
      </c>
      <c r="K86" s="4">
        <v>46218</v>
      </c>
      <c r="L86" s="3" t="s">
        <v>253</v>
      </c>
      <c r="M86" s="3" t="s">
        <v>697</v>
      </c>
      <c r="N86" s="3" t="s">
        <v>502</v>
      </c>
      <c r="O86" s="3" t="s">
        <v>502</v>
      </c>
      <c r="P86" s="3" t="s">
        <v>253</v>
      </c>
      <c r="Q86" s="3" t="s">
        <v>697</v>
      </c>
      <c r="R86" s="3" t="s">
        <v>9</v>
      </c>
      <c r="S86" s="20">
        <v>-300</v>
      </c>
      <c r="T86" s="3" t="s">
        <v>255</v>
      </c>
      <c r="U86" s="3" t="s">
        <v>502</v>
      </c>
      <c r="V86" s="3" t="s">
        <v>502</v>
      </c>
      <c r="W86" s="3" t="s">
        <v>502</v>
      </c>
    </row>
    <row r="87" spans="1:23" s="3" customFormat="1" x14ac:dyDescent="0.25">
      <c r="A87" s="3" t="s">
        <v>252</v>
      </c>
      <c r="B87" s="3" t="s">
        <v>517</v>
      </c>
      <c r="C87" s="3" t="s">
        <v>86</v>
      </c>
      <c r="D87" s="3" t="s">
        <v>148</v>
      </c>
      <c r="E87" s="3" t="s">
        <v>254</v>
      </c>
      <c r="F87" s="3" t="s">
        <v>584</v>
      </c>
      <c r="G87" s="3" t="s">
        <v>698</v>
      </c>
      <c r="H87" s="3" t="s">
        <v>16</v>
      </c>
      <c r="I87" s="3">
        <v>51</v>
      </c>
      <c r="J87" s="3" t="s">
        <v>502</v>
      </c>
      <c r="K87" s="4">
        <v>46218</v>
      </c>
      <c r="L87" s="3" t="s">
        <v>253</v>
      </c>
      <c r="M87" s="3" t="s">
        <v>697</v>
      </c>
      <c r="N87" s="3" t="s">
        <v>502</v>
      </c>
      <c r="O87" s="3" t="s">
        <v>502</v>
      </c>
      <c r="P87" s="3" t="s">
        <v>253</v>
      </c>
      <c r="Q87" s="3" t="s">
        <v>697</v>
      </c>
      <c r="R87" s="3" t="s">
        <v>9</v>
      </c>
      <c r="S87" s="20">
        <v>-123</v>
      </c>
      <c r="T87" s="3" t="s">
        <v>256</v>
      </c>
      <c r="U87" s="3" t="s">
        <v>502</v>
      </c>
      <c r="V87" s="3" t="s">
        <v>502</v>
      </c>
      <c r="W87" s="3" t="s">
        <v>502</v>
      </c>
    </row>
    <row r="88" spans="1:23" s="3" customFormat="1" x14ac:dyDescent="0.25">
      <c r="A88" s="3" t="s">
        <v>252</v>
      </c>
      <c r="B88" s="3" t="s">
        <v>517</v>
      </c>
      <c r="C88" s="3" t="s">
        <v>86</v>
      </c>
      <c r="D88" s="3" t="s">
        <v>148</v>
      </c>
      <c r="E88" s="3" t="s">
        <v>254</v>
      </c>
      <c r="F88" s="3" t="s">
        <v>584</v>
      </c>
      <c r="G88" s="3" t="s">
        <v>699</v>
      </c>
      <c r="H88" s="3" t="s">
        <v>16</v>
      </c>
      <c r="I88" s="3">
        <v>52</v>
      </c>
      <c r="J88" s="3" t="s">
        <v>502</v>
      </c>
      <c r="K88" s="4">
        <v>46218</v>
      </c>
      <c r="L88" s="3" t="s">
        <v>253</v>
      </c>
      <c r="M88" s="3" t="s">
        <v>697</v>
      </c>
      <c r="N88" s="3" t="s">
        <v>502</v>
      </c>
      <c r="O88" s="3" t="s">
        <v>502</v>
      </c>
      <c r="P88" s="3" t="s">
        <v>253</v>
      </c>
      <c r="Q88" s="3" t="s">
        <v>697</v>
      </c>
      <c r="R88" s="3" t="s">
        <v>9</v>
      </c>
      <c r="S88" s="20">
        <v>-177</v>
      </c>
      <c r="T88" s="3" t="s">
        <v>257</v>
      </c>
      <c r="U88" s="3" t="s">
        <v>502</v>
      </c>
      <c r="V88" s="3" t="s">
        <v>502</v>
      </c>
      <c r="W88" s="3" t="s">
        <v>502</v>
      </c>
    </row>
    <row r="89" spans="1:23" s="3" customFormat="1" x14ac:dyDescent="0.25">
      <c r="A89" s="3" t="s">
        <v>258</v>
      </c>
      <c r="B89" s="3" t="s">
        <v>519</v>
      </c>
      <c r="C89" s="3" t="s">
        <v>86</v>
      </c>
      <c r="D89" s="3" t="s">
        <v>148</v>
      </c>
      <c r="E89" s="3" t="s">
        <v>260</v>
      </c>
      <c r="F89" s="3" t="s">
        <v>582</v>
      </c>
      <c r="G89" s="3" t="s">
        <v>700</v>
      </c>
      <c r="H89" s="3" t="s">
        <v>16</v>
      </c>
      <c r="I89" s="3">
        <v>52</v>
      </c>
      <c r="J89" s="3" t="s">
        <v>502</v>
      </c>
      <c r="K89" s="4">
        <v>46218</v>
      </c>
      <c r="L89" s="3" t="s">
        <v>259</v>
      </c>
      <c r="M89" s="3" t="s">
        <v>701</v>
      </c>
      <c r="N89" s="3" t="s">
        <v>502</v>
      </c>
      <c r="O89" s="3" t="s">
        <v>502</v>
      </c>
      <c r="P89" s="3" t="s">
        <v>259</v>
      </c>
      <c r="Q89" s="3" t="s">
        <v>701</v>
      </c>
      <c r="R89" s="3" t="s">
        <v>9</v>
      </c>
      <c r="S89" s="20">
        <v>-123</v>
      </c>
      <c r="T89" s="3" t="s">
        <v>261</v>
      </c>
      <c r="U89" s="3" t="s">
        <v>502</v>
      </c>
      <c r="V89" s="3" t="s">
        <v>502</v>
      </c>
      <c r="W89" s="3" t="s">
        <v>502</v>
      </c>
    </row>
    <row r="90" spans="1:23" s="3" customFormat="1" x14ac:dyDescent="0.25">
      <c r="A90" s="3" t="s">
        <v>258</v>
      </c>
      <c r="B90" s="3" t="s">
        <v>519</v>
      </c>
      <c r="C90" s="3" t="s">
        <v>86</v>
      </c>
      <c r="D90" s="3" t="s">
        <v>148</v>
      </c>
      <c r="E90" s="3" t="s">
        <v>260</v>
      </c>
      <c r="F90" s="3" t="s">
        <v>582</v>
      </c>
      <c r="G90" s="3" t="s">
        <v>702</v>
      </c>
      <c r="H90" s="3" t="s">
        <v>16</v>
      </c>
      <c r="I90" s="3">
        <v>53</v>
      </c>
      <c r="J90" s="3" t="s">
        <v>502</v>
      </c>
      <c r="K90" s="4">
        <v>46218</v>
      </c>
      <c r="L90" s="3" t="s">
        <v>259</v>
      </c>
      <c r="M90" s="3" t="s">
        <v>701</v>
      </c>
      <c r="N90" s="3" t="s">
        <v>502</v>
      </c>
      <c r="O90" s="3" t="s">
        <v>502</v>
      </c>
      <c r="P90" s="3" t="s">
        <v>259</v>
      </c>
      <c r="Q90" s="3" t="s">
        <v>701</v>
      </c>
      <c r="R90" s="3" t="s">
        <v>9</v>
      </c>
      <c r="S90" s="20">
        <v>-177</v>
      </c>
      <c r="T90" s="3" t="s">
        <v>262</v>
      </c>
      <c r="U90" s="3" t="s">
        <v>502</v>
      </c>
      <c r="V90" s="3" t="s">
        <v>502</v>
      </c>
      <c r="W90" s="3" t="s">
        <v>502</v>
      </c>
    </row>
    <row r="91" spans="1:23" s="3" customFormat="1" x14ac:dyDescent="0.25">
      <c r="A91" s="3" t="s">
        <v>258</v>
      </c>
      <c r="B91" s="3" t="s">
        <v>519</v>
      </c>
      <c r="C91" s="3" t="s">
        <v>86</v>
      </c>
      <c r="D91" s="3" t="s">
        <v>148</v>
      </c>
      <c r="E91" s="3" t="s">
        <v>260</v>
      </c>
      <c r="F91" s="3" t="s">
        <v>584</v>
      </c>
      <c r="G91" s="3" t="s">
        <v>703</v>
      </c>
      <c r="H91" s="3" t="s">
        <v>16</v>
      </c>
      <c r="I91" s="3">
        <v>53</v>
      </c>
      <c r="J91" s="3" t="s">
        <v>502</v>
      </c>
      <c r="K91" s="4">
        <v>46218</v>
      </c>
      <c r="L91" s="3" t="s">
        <v>259</v>
      </c>
      <c r="M91" s="3" t="s">
        <v>701</v>
      </c>
      <c r="N91" s="3" t="s">
        <v>502</v>
      </c>
      <c r="O91" s="3" t="s">
        <v>502</v>
      </c>
      <c r="P91" s="3" t="s">
        <v>259</v>
      </c>
      <c r="Q91" s="3" t="s">
        <v>701</v>
      </c>
      <c r="R91" s="3" t="s">
        <v>9</v>
      </c>
      <c r="S91" s="20">
        <v>-300</v>
      </c>
      <c r="T91" s="3" t="s">
        <v>263</v>
      </c>
      <c r="U91" s="3" t="s">
        <v>502</v>
      </c>
      <c r="V91" s="3" t="s">
        <v>502</v>
      </c>
      <c r="W91" s="3" t="s">
        <v>502</v>
      </c>
    </row>
    <row r="92" spans="1:23" s="3" customFormat="1" x14ac:dyDescent="0.25">
      <c r="A92" s="3" t="s">
        <v>264</v>
      </c>
      <c r="B92" s="3" t="s">
        <v>517</v>
      </c>
      <c r="C92" s="3" t="s">
        <v>86</v>
      </c>
      <c r="D92" s="3" t="s">
        <v>130</v>
      </c>
      <c r="E92" s="3" t="s">
        <v>266</v>
      </c>
      <c r="F92" s="3" t="s">
        <v>582</v>
      </c>
      <c r="G92" s="3" t="s">
        <v>704</v>
      </c>
      <c r="H92" s="3" t="s">
        <v>16</v>
      </c>
      <c r="I92" s="3">
        <v>57</v>
      </c>
      <c r="J92" s="3" t="s">
        <v>502</v>
      </c>
      <c r="K92" s="4">
        <v>46218</v>
      </c>
      <c r="L92" s="3" t="s">
        <v>265</v>
      </c>
      <c r="M92" s="3" t="s">
        <v>265</v>
      </c>
      <c r="N92" s="3" t="s">
        <v>705</v>
      </c>
      <c r="O92" s="3" t="s">
        <v>706</v>
      </c>
      <c r="P92" s="3" t="s">
        <v>502</v>
      </c>
      <c r="Q92" s="3" t="s">
        <v>502</v>
      </c>
      <c r="R92" s="3" t="s">
        <v>9</v>
      </c>
      <c r="S92" s="20">
        <v>6750</v>
      </c>
      <c r="T92" s="3" t="s">
        <v>267</v>
      </c>
      <c r="U92" s="3" t="s">
        <v>502</v>
      </c>
      <c r="V92" s="3" t="s">
        <v>502</v>
      </c>
      <c r="W92" s="3" t="s">
        <v>502</v>
      </c>
    </row>
    <row r="93" spans="1:23" s="3" customFormat="1" x14ac:dyDescent="0.25">
      <c r="A93" s="3" t="s">
        <v>264</v>
      </c>
      <c r="B93" s="3" t="s">
        <v>517</v>
      </c>
      <c r="C93" s="3" t="s">
        <v>86</v>
      </c>
      <c r="D93" s="3" t="s">
        <v>130</v>
      </c>
      <c r="E93" s="3" t="s">
        <v>266</v>
      </c>
      <c r="F93" s="3" t="s">
        <v>584</v>
      </c>
      <c r="G93" s="3" t="s">
        <v>707</v>
      </c>
      <c r="H93" s="3" t="s">
        <v>16</v>
      </c>
      <c r="I93" s="3">
        <v>57</v>
      </c>
      <c r="J93" s="3" t="s">
        <v>502</v>
      </c>
      <c r="K93" s="4">
        <v>46218</v>
      </c>
      <c r="L93" s="3" t="s">
        <v>265</v>
      </c>
      <c r="M93" s="3" t="s">
        <v>265</v>
      </c>
      <c r="N93" s="3" t="s">
        <v>705</v>
      </c>
      <c r="O93" s="3" t="s">
        <v>706</v>
      </c>
      <c r="P93" s="3" t="s">
        <v>502</v>
      </c>
      <c r="Q93" s="3" t="s">
        <v>502</v>
      </c>
      <c r="R93" s="3" t="s">
        <v>9</v>
      </c>
      <c r="S93" s="20">
        <v>2500</v>
      </c>
      <c r="T93" s="3" t="s">
        <v>268</v>
      </c>
      <c r="U93" s="3" t="s">
        <v>502</v>
      </c>
      <c r="V93" s="3" t="s">
        <v>502</v>
      </c>
      <c r="W93" s="3" t="s">
        <v>502</v>
      </c>
    </row>
    <row r="94" spans="1:23" s="3" customFormat="1" x14ac:dyDescent="0.25">
      <c r="A94" s="3" t="s">
        <v>264</v>
      </c>
      <c r="B94" s="3" t="s">
        <v>517</v>
      </c>
      <c r="C94" s="3" t="s">
        <v>86</v>
      </c>
      <c r="D94" s="3" t="s">
        <v>130</v>
      </c>
      <c r="E94" s="3" t="s">
        <v>266</v>
      </c>
      <c r="F94" s="3" t="s">
        <v>584</v>
      </c>
      <c r="G94" s="3" t="s">
        <v>708</v>
      </c>
      <c r="H94" s="3" t="s">
        <v>16</v>
      </c>
      <c r="I94" s="3">
        <v>58</v>
      </c>
      <c r="J94" s="3" t="s">
        <v>502</v>
      </c>
      <c r="K94" s="4">
        <v>46218</v>
      </c>
      <c r="L94" s="3" t="s">
        <v>265</v>
      </c>
      <c r="M94" s="3" t="s">
        <v>265</v>
      </c>
      <c r="N94" s="3" t="s">
        <v>705</v>
      </c>
      <c r="O94" s="3" t="s">
        <v>706</v>
      </c>
      <c r="P94" s="3" t="s">
        <v>502</v>
      </c>
      <c r="Q94" s="3" t="s">
        <v>502</v>
      </c>
      <c r="R94" s="3" t="s">
        <v>9</v>
      </c>
      <c r="S94" s="20">
        <v>2250</v>
      </c>
      <c r="T94" s="3" t="s">
        <v>269</v>
      </c>
      <c r="U94" s="3" t="s">
        <v>502</v>
      </c>
      <c r="V94" s="3" t="s">
        <v>502</v>
      </c>
      <c r="W94" s="3" t="s">
        <v>502</v>
      </c>
    </row>
    <row r="95" spans="1:23" s="3" customFormat="1" x14ac:dyDescent="0.25">
      <c r="A95" s="3" t="s">
        <v>264</v>
      </c>
      <c r="B95" s="3" t="s">
        <v>517</v>
      </c>
      <c r="C95" s="3" t="s">
        <v>86</v>
      </c>
      <c r="D95" s="3" t="s">
        <v>130</v>
      </c>
      <c r="E95" s="3" t="s">
        <v>266</v>
      </c>
      <c r="F95" s="3" t="s">
        <v>584</v>
      </c>
      <c r="G95" s="3" t="s">
        <v>709</v>
      </c>
      <c r="H95" s="3" t="s">
        <v>16</v>
      </c>
      <c r="I95" s="3">
        <v>59</v>
      </c>
      <c r="J95" s="3" t="s">
        <v>502</v>
      </c>
      <c r="K95" s="4">
        <v>46218</v>
      </c>
      <c r="L95" s="3" t="s">
        <v>265</v>
      </c>
      <c r="M95" s="3" t="s">
        <v>265</v>
      </c>
      <c r="N95" s="3" t="s">
        <v>705</v>
      </c>
      <c r="O95" s="3" t="s">
        <v>706</v>
      </c>
      <c r="P95" s="3" t="s">
        <v>502</v>
      </c>
      <c r="Q95" s="3" t="s">
        <v>502</v>
      </c>
      <c r="R95" s="3" t="s">
        <v>9</v>
      </c>
      <c r="S95" s="20">
        <v>2000</v>
      </c>
      <c r="T95" s="3" t="s">
        <v>270</v>
      </c>
      <c r="U95" s="3" t="s">
        <v>502</v>
      </c>
      <c r="V95" s="3" t="s">
        <v>502</v>
      </c>
      <c r="W95" s="3" t="s">
        <v>502</v>
      </c>
    </row>
    <row r="96" spans="1:23" s="3" customFormat="1" x14ac:dyDescent="0.25">
      <c r="A96" s="3" t="s">
        <v>271</v>
      </c>
      <c r="B96" s="3" t="s">
        <v>519</v>
      </c>
      <c r="C96" s="3" t="s">
        <v>86</v>
      </c>
      <c r="D96" s="3" t="s">
        <v>130</v>
      </c>
      <c r="E96" s="3" t="s">
        <v>273</v>
      </c>
      <c r="F96" s="3" t="s">
        <v>582</v>
      </c>
      <c r="G96" s="3" t="s">
        <v>710</v>
      </c>
      <c r="H96" s="3" t="s">
        <v>16</v>
      </c>
      <c r="I96" s="3">
        <v>58</v>
      </c>
      <c r="J96" s="3" t="s">
        <v>502</v>
      </c>
      <c r="K96" s="4">
        <v>46218</v>
      </c>
      <c r="L96" s="3" t="s">
        <v>272</v>
      </c>
      <c r="M96" s="3" t="s">
        <v>272</v>
      </c>
      <c r="N96" s="3" t="s">
        <v>711</v>
      </c>
      <c r="O96" s="3" t="s">
        <v>712</v>
      </c>
      <c r="P96" s="3" t="s">
        <v>502</v>
      </c>
      <c r="Q96" s="3" t="s">
        <v>502</v>
      </c>
      <c r="R96" s="3" t="s">
        <v>9</v>
      </c>
      <c r="S96" s="20">
        <v>2500</v>
      </c>
      <c r="T96" s="3" t="s">
        <v>274</v>
      </c>
      <c r="U96" s="3" t="s">
        <v>502</v>
      </c>
      <c r="V96" s="3" t="s">
        <v>502</v>
      </c>
      <c r="W96" s="3" t="s">
        <v>502</v>
      </c>
    </row>
    <row r="97" spans="1:23" s="3" customFormat="1" x14ac:dyDescent="0.25">
      <c r="A97" s="3" t="s">
        <v>271</v>
      </c>
      <c r="B97" s="3" t="s">
        <v>519</v>
      </c>
      <c r="C97" s="3" t="s">
        <v>86</v>
      </c>
      <c r="D97" s="3" t="s">
        <v>130</v>
      </c>
      <c r="E97" s="3" t="s">
        <v>273</v>
      </c>
      <c r="F97" s="3" t="s">
        <v>582</v>
      </c>
      <c r="G97" s="3" t="s">
        <v>713</v>
      </c>
      <c r="H97" s="3" t="s">
        <v>16</v>
      </c>
      <c r="I97" s="3">
        <v>59</v>
      </c>
      <c r="J97" s="3" t="s">
        <v>502</v>
      </c>
      <c r="K97" s="4">
        <v>46218</v>
      </c>
      <c r="L97" s="3" t="s">
        <v>272</v>
      </c>
      <c r="M97" s="3" t="s">
        <v>272</v>
      </c>
      <c r="N97" s="3" t="s">
        <v>711</v>
      </c>
      <c r="O97" s="3" t="s">
        <v>712</v>
      </c>
      <c r="P97" s="3" t="s">
        <v>502</v>
      </c>
      <c r="Q97" s="3" t="s">
        <v>502</v>
      </c>
      <c r="R97" s="3" t="s">
        <v>9</v>
      </c>
      <c r="S97" s="20">
        <v>2250</v>
      </c>
      <c r="T97" s="3" t="s">
        <v>275</v>
      </c>
      <c r="U97" s="3" t="s">
        <v>502</v>
      </c>
      <c r="V97" s="3" t="s">
        <v>502</v>
      </c>
      <c r="W97" s="3" t="s">
        <v>502</v>
      </c>
    </row>
    <row r="98" spans="1:23" s="3" customFormat="1" x14ac:dyDescent="0.25">
      <c r="A98" s="3" t="s">
        <v>271</v>
      </c>
      <c r="B98" s="3" t="s">
        <v>519</v>
      </c>
      <c r="C98" s="3" t="s">
        <v>86</v>
      </c>
      <c r="D98" s="3" t="s">
        <v>130</v>
      </c>
      <c r="E98" s="3" t="s">
        <v>273</v>
      </c>
      <c r="F98" s="3" t="s">
        <v>582</v>
      </c>
      <c r="G98" s="3" t="s">
        <v>714</v>
      </c>
      <c r="H98" s="3" t="s">
        <v>16</v>
      </c>
      <c r="I98" s="3">
        <v>60</v>
      </c>
      <c r="J98" s="3" t="s">
        <v>502</v>
      </c>
      <c r="K98" s="4">
        <v>46218</v>
      </c>
      <c r="L98" s="3" t="s">
        <v>272</v>
      </c>
      <c r="M98" s="3" t="s">
        <v>272</v>
      </c>
      <c r="N98" s="3" t="s">
        <v>711</v>
      </c>
      <c r="O98" s="3" t="s">
        <v>712</v>
      </c>
      <c r="P98" s="3" t="s">
        <v>502</v>
      </c>
      <c r="Q98" s="3" t="s">
        <v>502</v>
      </c>
      <c r="R98" s="3" t="s">
        <v>9</v>
      </c>
      <c r="S98" s="20">
        <v>2000</v>
      </c>
      <c r="T98" s="3" t="s">
        <v>276</v>
      </c>
      <c r="U98" s="3" t="s">
        <v>502</v>
      </c>
      <c r="V98" s="3" t="s">
        <v>502</v>
      </c>
      <c r="W98" s="3" t="s">
        <v>502</v>
      </c>
    </row>
    <row r="99" spans="1:23" s="3" customFormat="1" x14ac:dyDescent="0.25">
      <c r="A99" s="3" t="s">
        <v>271</v>
      </c>
      <c r="B99" s="3" t="s">
        <v>519</v>
      </c>
      <c r="C99" s="3" t="s">
        <v>86</v>
      </c>
      <c r="D99" s="3" t="s">
        <v>130</v>
      </c>
      <c r="E99" s="3" t="s">
        <v>273</v>
      </c>
      <c r="F99" s="3" t="s">
        <v>584</v>
      </c>
      <c r="G99" s="3" t="s">
        <v>715</v>
      </c>
      <c r="H99" s="3" t="s">
        <v>16</v>
      </c>
      <c r="I99" s="3">
        <v>60</v>
      </c>
      <c r="J99" s="3" t="s">
        <v>502</v>
      </c>
      <c r="K99" s="4">
        <v>46218</v>
      </c>
      <c r="L99" s="3" t="s">
        <v>272</v>
      </c>
      <c r="M99" s="3" t="s">
        <v>272</v>
      </c>
      <c r="N99" s="3" t="s">
        <v>711</v>
      </c>
      <c r="O99" s="3" t="s">
        <v>712</v>
      </c>
      <c r="P99" s="3" t="s">
        <v>502</v>
      </c>
      <c r="Q99" s="3" t="s">
        <v>502</v>
      </c>
      <c r="R99" s="3" t="s">
        <v>9</v>
      </c>
      <c r="S99" s="20">
        <v>6750</v>
      </c>
      <c r="T99" s="3" t="s">
        <v>277</v>
      </c>
      <c r="U99" s="3" t="s">
        <v>502</v>
      </c>
      <c r="V99" s="3" t="s">
        <v>502</v>
      </c>
      <c r="W99" s="3" t="s">
        <v>502</v>
      </c>
    </row>
    <row r="100" spans="1:23" s="3" customFormat="1" x14ac:dyDescent="0.25">
      <c r="A100" s="3" t="s">
        <v>278</v>
      </c>
      <c r="B100" s="3" t="s">
        <v>517</v>
      </c>
      <c r="C100" s="3" t="s">
        <v>86</v>
      </c>
      <c r="D100" s="3" t="s">
        <v>148</v>
      </c>
      <c r="E100" s="3" t="s">
        <v>280</v>
      </c>
      <c r="F100" s="3" t="s">
        <v>582</v>
      </c>
      <c r="G100" s="3" t="s">
        <v>716</v>
      </c>
      <c r="H100" s="3" t="s">
        <v>16</v>
      </c>
      <c r="I100" s="3">
        <v>61</v>
      </c>
      <c r="J100" s="3" t="s">
        <v>502</v>
      </c>
      <c r="K100" s="4">
        <v>46218</v>
      </c>
      <c r="L100" s="3" t="s">
        <v>279</v>
      </c>
      <c r="M100" s="3" t="s">
        <v>717</v>
      </c>
      <c r="N100" s="3" t="s">
        <v>502</v>
      </c>
      <c r="O100" s="3" t="s">
        <v>502</v>
      </c>
      <c r="P100" s="3" t="s">
        <v>279</v>
      </c>
      <c r="Q100" s="3" t="s">
        <v>717</v>
      </c>
      <c r="R100" s="3" t="s">
        <v>9</v>
      </c>
      <c r="S100" s="20">
        <v>-300</v>
      </c>
      <c r="T100" s="3" t="s">
        <v>281</v>
      </c>
      <c r="U100" s="3" t="s">
        <v>502</v>
      </c>
      <c r="V100" s="3" t="s">
        <v>502</v>
      </c>
      <c r="W100" s="3" t="s">
        <v>502</v>
      </c>
    </row>
    <row r="101" spans="1:23" s="3" customFormat="1" x14ac:dyDescent="0.25">
      <c r="A101" s="3" t="s">
        <v>278</v>
      </c>
      <c r="B101" s="3" t="s">
        <v>517</v>
      </c>
      <c r="C101" s="3" t="s">
        <v>86</v>
      </c>
      <c r="D101" s="3" t="s">
        <v>148</v>
      </c>
      <c r="E101" s="3" t="s">
        <v>280</v>
      </c>
      <c r="F101" s="3" t="s">
        <v>584</v>
      </c>
      <c r="G101" s="3" t="s">
        <v>718</v>
      </c>
      <c r="H101" s="3" t="s">
        <v>16</v>
      </c>
      <c r="I101" s="3">
        <v>61</v>
      </c>
      <c r="J101" s="3" t="s">
        <v>502</v>
      </c>
      <c r="K101" s="4">
        <v>46218</v>
      </c>
      <c r="L101" s="3" t="s">
        <v>279</v>
      </c>
      <c r="M101" s="3" t="s">
        <v>717</v>
      </c>
      <c r="N101" s="3" t="s">
        <v>502</v>
      </c>
      <c r="O101" s="3" t="s">
        <v>502</v>
      </c>
      <c r="P101" s="3" t="s">
        <v>279</v>
      </c>
      <c r="Q101" s="3" t="s">
        <v>717</v>
      </c>
      <c r="R101" s="3" t="s">
        <v>9</v>
      </c>
      <c r="S101" s="20">
        <v>-123</v>
      </c>
      <c r="T101" s="3" t="s">
        <v>282</v>
      </c>
      <c r="U101" s="3" t="s">
        <v>502</v>
      </c>
      <c r="V101" s="3" t="s">
        <v>502</v>
      </c>
      <c r="W101" s="3" t="s">
        <v>502</v>
      </c>
    </row>
    <row r="102" spans="1:23" s="3" customFormat="1" x14ac:dyDescent="0.25">
      <c r="A102" s="3" t="s">
        <v>278</v>
      </c>
      <c r="B102" s="3" t="s">
        <v>517</v>
      </c>
      <c r="C102" s="3" t="s">
        <v>86</v>
      </c>
      <c r="D102" s="3" t="s">
        <v>148</v>
      </c>
      <c r="E102" s="3" t="s">
        <v>280</v>
      </c>
      <c r="F102" s="3" t="s">
        <v>584</v>
      </c>
      <c r="G102" s="3" t="s">
        <v>719</v>
      </c>
      <c r="H102" s="3" t="s">
        <v>16</v>
      </c>
      <c r="I102" s="3">
        <v>62</v>
      </c>
      <c r="J102" s="3" t="s">
        <v>502</v>
      </c>
      <c r="K102" s="4">
        <v>46218</v>
      </c>
      <c r="L102" s="3" t="s">
        <v>279</v>
      </c>
      <c r="M102" s="3" t="s">
        <v>717</v>
      </c>
      <c r="N102" s="3" t="s">
        <v>502</v>
      </c>
      <c r="O102" s="3" t="s">
        <v>502</v>
      </c>
      <c r="P102" s="3" t="s">
        <v>279</v>
      </c>
      <c r="Q102" s="3" t="s">
        <v>717</v>
      </c>
      <c r="R102" s="3" t="s">
        <v>9</v>
      </c>
      <c r="S102" s="20">
        <v>-177</v>
      </c>
      <c r="T102" s="3" t="s">
        <v>283</v>
      </c>
      <c r="U102" s="3" t="s">
        <v>502</v>
      </c>
      <c r="V102" s="3" t="s">
        <v>502</v>
      </c>
      <c r="W102" s="3" t="s">
        <v>502</v>
      </c>
    </row>
    <row r="103" spans="1:23" s="3" customFormat="1" x14ac:dyDescent="0.25">
      <c r="A103" s="3" t="s">
        <v>284</v>
      </c>
      <c r="B103" s="3" t="s">
        <v>519</v>
      </c>
      <c r="C103" s="3" t="s">
        <v>86</v>
      </c>
      <c r="D103" s="3" t="s">
        <v>148</v>
      </c>
      <c r="E103" s="3" t="s">
        <v>286</v>
      </c>
      <c r="F103" s="3" t="s">
        <v>582</v>
      </c>
      <c r="G103" s="3" t="s">
        <v>720</v>
      </c>
      <c r="H103" s="3" t="s">
        <v>16</v>
      </c>
      <c r="I103" s="3">
        <v>62</v>
      </c>
      <c r="J103" s="3" t="s">
        <v>502</v>
      </c>
      <c r="K103" s="4">
        <v>46218</v>
      </c>
      <c r="L103" s="3" t="s">
        <v>285</v>
      </c>
      <c r="M103" s="3" t="s">
        <v>721</v>
      </c>
      <c r="N103" s="3" t="s">
        <v>502</v>
      </c>
      <c r="O103" s="3" t="s">
        <v>502</v>
      </c>
      <c r="P103" s="3" t="s">
        <v>285</v>
      </c>
      <c r="Q103" s="3" t="s">
        <v>721</v>
      </c>
      <c r="R103" s="3" t="s">
        <v>9</v>
      </c>
      <c r="S103" s="20">
        <v>-123</v>
      </c>
      <c r="T103" s="3" t="s">
        <v>287</v>
      </c>
      <c r="U103" s="3" t="s">
        <v>502</v>
      </c>
      <c r="V103" s="3" t="s">
        <v>502</v>
      </c>
      <c r="W103" s="3" t="s">
        <v>502</v>
      </c>
    </row>
    <row r="104" spans="1:23" s="3" customFormat="1" x14ac:dyDescent="0.25">
      <c r="A104" s="3" t="s">
        <v>284</v>
      </c>
      <c r="B104" s="3" t="s">
        <v>519</v>
      </c>
      <c r="C104" s="3" t="s">
        <v>86</v>
      </c>
      <c r="D104" s="3" t="s">
        <v>148</v>
      </c>
      <c r="E104" s="3" t="s">
        <v>286</v>
      </c>
      <c r="F104" s="3" t="s">
        <v>582</v>
      </c>
      <c r="G104" s="3" t="s">
        <v>722</v>
      </c>
      <c r="H104" s="3" t="s">
        <v>16</v>
      </c>
      <c r="I104" s="3">
        <v>63</v>
      </c>
      <c r="J104" s="3" t="s">
        <v>502</v>
      </c>
      <c r="K104" s="4">
        <v>46218</v>
      </c>
      <c r="L104" s="3" t="s">
        <v>285</v>
      </c>
      <c r="M104" s="3" t="s">
        <v>721</v>
      </c>
      <c r="N104" s="3" t="s">
        <v>502</v>
      </c>
      <c r="O104" s="3" t="s">
        <v>502</v>
      </c>
      <c r="P104" s="3" t="s">
        <v>285</v>
      </c>
      <c r="Q104" s="3" t="s">
        <v>721</v>
      </c>
      <c r="R104" s="3" t="s">
        <v>9</v>
      </c>
      <c r="S104" s="20">
        <v>-177</v>
      </c>
      <c r="T104" s="3" t="s">
        <v>288</v>
      </c>
      <c r="U104" s="3" t="s">
        <v>502</v>
      </c>
      <c r="V104" s="3" t="s">
        <v>502</v>
      </c>
      <c r="W104" s="3" t="s">
        <v>502</v>
      </c>
    </row>
    <row r="105" spans="1:23" s="3" customFormat="1" x14ac:dyDescent="0.25">
      <c r="A105" s="3" t="s">
        <v>284</v>
      </c>
      <c r="B105" s="3" t="s">
        <v>519</v>
      </c>
      <c r="C105" s="3" t="s">
        <v>86</v>
      </c>
      <c r="D105" s="3" t="s">
        <v>148</v>
      </c>
      <c r="E105" s="3" t="s">
        <v>286</v>
      </c>
      <c r="F105" s="3" t="s">
        <v>584</v>
      </c>
      <c r="G105" s="3" t="s">
        <v>723</v>
      </c>
      <c r="H105" s="3" t="s">
        <v>16</v>
      </c>
      <c r="I105" s="3">
        <v>63</v>
      </c>
      <c r="J105" s="3" t="s">
        <v>502</v>
      </c>
      <c r="K105" s="4">
        <v>46218</v>
      </c>
      <c r="L105" s="3" t="s">
        <v>285</v>
      </c>
      <c r="M105" s="3" t="s">
        <v>721</v>
      </c>
      <c r="N105" s="3" t="s">
        <v>502</v>
      </c>
      <c r="O105" s="3" t="s">
        <v>502</v>
      </c>
      <c r="P105" s="3" t="s">
        <v>285</v>
      </c>
      <c r="Q105" s="3" t="s">
        <v>721</v>
      </c>
      <c r="R105" s="3" t="s">
        <v>9</v>
      </c>
      <c r="S105" s="20">
        <v>-300</v>
      </c>
      <c r="T105" s="3" t="s">
        <v>289</v>
      </c>
      <c r="U105" s="3" t="s">
        <v>502</v>
      </c>
      <c r="V105" s="3" t="s">
        <v>502</v>
      </c>
      <c r="W105" s="3" t="s">
        <v>502</v>
      </c>
    </row>
    <row r="106" spans="1:23" s="3" customFormat="1" x14ac:dyDescent="0.25">
      <c r="A106" s="3" t="s">
        <v>290</v>
      </c>
      <c r="B106" s="3" t="s">
        <v>517</v>
      </c>
      <c r="C106" s="3" t="s">
        <v>86</v>
      </c>
      <c r="D106" s="3" t="s">
        <v>130</v>
      </c>
      <c r="E106" s="3" t="s">
        <v>292</v>
      </c>
      <c r="F106" s="3" t="s">
        <v>582</v>
      </c>
      <c r="G106" s="3" t="s">
        <v>724</v>
      </c>
      <c r="H106" s="3" t="s">
        <v>16</v>
      </c>
      <c r="I106" s="3">
        <v>67</v>
      </c>
      <c r="J106" s="3" t="s">
        <v>502</v>
      </c>
      <c r="K106" s="4">
        <v>46218</v>
      </c>
      <c r="L106" s="3" t="s">
        <v>291</v>
      </c>
      <c r="M106" s="3" t="s">
        <v>291</v>
      </c>
      <c r="N106" s="3" t="s">
        <v>725</v>
      </c>
      <c r="O106" s="3" t="s">
        <v>726</v>
      </c>
      <c r="P106" s="3" t="s">
        <v>502</v>
      </c>
      <c r="Q106" s="3" t="s">
        <v>502</v>
      </c>
      <c r="R106" s="3" t="s">
        <v>9</v>
      </c>
      <c r="S106" s="20">
        <v>6750</v>
      </c>
      <c r="T106" s="3" t="s">
        <v>293</v>
      </c>
      <c r="U106" s="3" t="s">
        <v>502</v>
      </c>
      <c r="V106" s="3" t="s">
        <v>502</v>
      </c>
      <c r="W106" s="3" t="s">
        <v>502</v>
      </c>
    </row>
    <row r="107" spans="1:23" s="3" customFormat="1" x14ac:dyDescent="0.25">
      <c r="A107" s="3" t="s">
        <v>290</v>
      </c>
      <c r="B107" s="3" t="s">
        <v>517</v>
      </c>
      <c r="C107" s="3" t="s">
        <v>86</v>
      </c>
      <c r="D107" s="3" t="s">
        <v>130</v>
      </c>
      <c r="E107" s="3" t="s">
        <v>292</v>
      </c>
      <c r="F107" s="3" t="s">
        <v>584</v>
      </c>
      <c r="G107" s="3" t="s">
        <v>727</v>
      </c>
      <c r="H107" s="3" t="s">
        <v>16</v>
      </c>
      <c r="I107" s="3">
        <v>67</v>
      </c>
      <c r="J107" s="3" t="s">
        <v>502</v>
      </c>
      <c r="K107" s="4">
        <v>46218</v>
      </c>
      <c r="L107" s="3" t="s">
        <v>291</v>
      </c>
      <c r="M107" s="3" t="s">
        <v>291</v>
      </c>
      <c r="N107" s="3" t="s">
        <v>725</v>
      </c>
      <c r="O107" s="3" t="s">
        <v>726</v>
      </c>
      <c r="P107" s="3" t="s">
        <v>502</v>
      </c>
      <c r="Q107" s="3" t="s">
        <v>502</v>
      </c>
      <c r="R107" s="3" t="s">
        <v>9</v>
      </c>
      <c r="S107" s="20">
        <v>2500</v>
      </c>
      <c r="T107" s="3" t="s">
        <v>294</v>
      </c>
      <c r="U107" s="3" t="s">
        <v>502</v>
      </c>
      <c r="V107" s="3" t="s">
        <v>502</v>
      </c>
      <c r="W107" s="3" t="s">
        <v>502</v>
      </c>
    </row>
    <row r="108" spans="1:23" s="3" customFormat="1" x14ac:dyDescent="0.25">
      <c r="A108" s="3" t="s">
        <v>290</v>
      </c>
      <c r="B108" s="3" t="s">
        <v>517</v>
      </c>
      <c r="C108" s="3" t="s">
        <v>86</v>
      </c>
      <c r="D108" s="3" t="s">
        <v>130</v>
      </c>
      <c r="E108" s="3" t="s">
        <v>292</v>
      </c>
      <c r="F108" s="3" t="s">
        <v>584</v>
      </c>
      <c r="G108" s="3" t="s">
        <v>728</v>
      </c>
      <c r="H108" s="3" t="s">
        <v>16</v>
      </c>
      <c r="I108" s="3">
        <v>68</v>
      </c>
      <c r="J108" s="3" t="s">
        <v>502</v>
      </c>
      <c r="K108" s="4">
        <v>46218</v>
      </c>
      <c r="L108" s="3" t="s">
        <v>291</v>
      </c>
      <c r="M108" s="3" t="s">
        <v>291</v>
      </c>
      <c r="N108" s="3" t="s">
        <v>725</v>
      </c>
      <c r="O108" s="3" t="s">
        <v>726</v>
      </c>
      <c r="P108" s="3" t="s">
        <v>502</v>
      </c>
      <c r="Q108" s="3" t="s">
        <v>502</v>
      </c>
      <c r="R108" s="3" t="s">
        <v>9</v>
      </c>
      <c r="S108" s="20">
        <v>2250</v>
      </c>
      <c r="T108" s="3" t="s">
        <v>295</v>
      </c>
      <c r="U108" s="3" t="s">
        <v>502</v>
      </c>
      <c r="V108" s="3" t="s">
        <v>502</v>
      </c>
      <c r="W108" s="3" t="s">
        <v>502</v>
      </c>
    </row>
    <row r="109" spans="1:23" s="3" customFormat="1" x14ac:dyDescent="0.25">
      <c r="A109" s="3" t="s">
        <v>290</v>
      </c>
      <c r="B109" s="3" t="s">
        <v>517</v>
      </c>
      <c r="C109" s="3" t="s">
        <v>86</v>
      </c>
      <c r="D109" s="3" t="s">
        <v>130</v>
      </c>
      <c r="E109" s="3" t="s">
        <v>292</v>
      </c>
      <c r="F109" s="3" t="s">
        <v>584</v>
      </c>
      <c r="G109" s="3" t="s">
        <v>729</v>
      </c>
      <c r="H109" s="3" t="s">
        <v>16</v>
      </c>
      <c r="I109" s="3">
        <v>69</v>
      </c>
      <c r="J109" s="3" t="s">
        <v>502</v>
      </c>
      <c r="K109" s="4">
        <v>46218</v>
      </c>
      <c r="L109" s="3" t="s">
        <v>291</v>
      </c>
      <c r="M109" s="3" t="s">
        <v>291</v>
      </c>
      <c r="N109" s="3" t="s">
        <v>725</v>
      </c>
      <c r="O109" s="3" t="s">
        <v>726</v>
      </c>
      <c r="P109" s="3" t="s">
        <v>502</v>
      </c>
      <c r="Q109" s="3" t="s">
        <v>502</v>
      </c>
      <c r="R109" s="3" t="s">
        <v>9</v>
      </c>
      <c r="S109" s="20">
        <v>2000</v>
      </c>
      <c r="T109" s="3" t="s">
        <v>296</v>
      </c>
      <c r="U109" s="3" t="s">
        <v>502</v>
      </c>
      <c r="V109" s="3" t="s">
        <v>502</v>
      </c>
      <c r="W109" s="3" t="s">
        <v>502</v>
      </c>
    </row>
    <row r="110" spans="1:23" s="3" customFormat="1" x14ac:dyDescent="0.25">
      <c r="A110" s="3" t="s">
        <v>297</v>
      </c>
      <c r="B110" s="3" t="s">
        <v>519</v>
      </c>
      <c r="C110" s="3" t="s">
        <v>86</v>
      </c>
      <c r="D110" s="3" t="s">
        <v>130</v>
      </c>
      <c r="E110" s="3" t="s">
        <v>299</v>
      </c>
      <c r="F110" s="3" t="s">
        <v>582</v>
      </c>
      <c r="G110" s="3" t="s">
        <v>730</v>
      </c>
      <c r="H110" s="3" t="s">
        <v>16</v>
      </c>
      <c r="I110" s="3">
        <v>68</v>
      </c>
      <c r="J110" s="3" t="s">
        <v>502</v>
      </c>
      <c r="K110" s="4">
        <v>46218</v>
      </c>
      <c r="L110" s="3" t="s">
        <v>298</v>
      </c>
      <c r="M110" s="3" t="s">
        <v>298</v>
      </c>
      <c r="N110" s="3" t="s">
        <v>731</v>
      </c>
      <c r="O110" s="3" t="s">
        <v>732</v>
      </c>
      <c r="P110" s="3" t="s">
        <v>502</v>
      </c>
      <c r="Q110" s="3" t="s">
        <v>502</v>
      </c>
      <c r="R110" s="3" t="s">
        <v>9</v>
      </c>
      <c r="S110" s="20">
        <v>2500</v>
      </c>
      <c r="T110" s="3" t="s">
        <v>300</v>
      </c>
      <c r="U110" s="3" t="s">
        <v>502</v>
      </c>
      <c r="V110" s="3" t="s">
        <v>502</v>
      </c>
      <c r="W110" s="3" t="s">
        <v>502</v>
      </c>
    </row>
    <row r="111" spans="1:23" s="3" customFormat="1" x14ac:dyDescent="0.25">
      <c r="A111" s="3" t="s">
        <v>297</v>
      </c>
      <c r="B111" s="3" t="s">
        <v>519</v>
      </c>
      <c r="C111" s="3" t="s">
        <v>86</v>
      </c>
      <c r="D111" s="3" t="s">
        <v>130</v>
      </c>
      <c r="E111" s="3" t="s">
        <v>299</v>
      </c>
      <c r="F111" s="3" t="s">
        <v>582</v>
      </c>
      <c r="G111" s="3" t="s">
        <v>733</v>
      </c>
      <c r="H111" s="3" t="s">
        <v>16</v>
      </c>
      <c r="I111" s="3">
        <v>69</v>
      </c>
      <c r="J111" s="3" t="s">
        <v>502</v>
      </c>
      <c r="K111" s="4">
        <v>46218</v>
      </c>
      <c r="L111" s="3" t="s">
        <v>298</v>
      </c>
      <c r="M111" s="3" t="s">
        <v>298</v>
      </c>
      <c r="N111" s="3" t="s">
        <v>731</v>
      </c>
      <c r="O111" s="3" t="s">
        <v>732</v>
      </c>
      <c r="P111" s="3" t="s">
        <v>502</v>
      </c>
      <c r="Q111" s="3" t="s">
        <v>502</v>
      </c>
      <c r="R111" s="3" t="s">
        <v>9</v>
      </c>
      <c r="S111" s="20">
        <v>2250</v>
      </c>
      <c r="T111" s="3" t="s">
        <v>301</v>
      </c>
      <c r="U111" s="3" t="s">
        <v>502</v>
      </c>
      <c r="V111" s="3" t="s">
        <v>502</v>
      </c>
      <c r="W111" s="3" t="s">
        <v>502</v>
      </c>
    </row>
    <row r="112" spans="1:23" s="3" customFormat="1" x14ac:dyDescent="0.25">
      <c r="A112" s="3" t="s">
        <v>297</v>
      </c>
      <c r="B112" s="3" t="s">
        <v>519</v>
      </c>
      <c r="C112" s="3" t="s">
        <v>86</v>
      </c>
      <c r="D112" s="3" t="s">
        <v>130</v>
      </c>
      <c r="E112" s="3" t="s">
        <v>299</v>
      </c>
      <c r="F112" s="3" t="s">
        <v>582</v>
      </c>
      <c r="G112" s="3" t="s">
        <v>734</v>
      </c>
      <c r="H112" s="3" t="s">
        <v>16</v>
      </c>
      <c r="I112" s="3">
        <v>70</v>
      </c>
      <c r="J112" s="3" t="s">
        <v>502</v>
      </c>
      <c r="K112" s="4">
        <v>46218</v>
      </c>
      <c r="L112" s="3" t="s">
        <v>298</v>
      </c>
      <c r="M112" s="3" t="s">
        <v>298</v>
      </c>
      <c r="N112" s="3" t="s">
        <v>731</v>
      </c>
      <c r="O112" s="3" t="s">
        <v>732</v>
      </c>
      <c r="P112" s="3" t="s">
        <v>502</v>
      </c>
      <c r="Q112" s="3" t="s">
        <v>502</v>
      </c>
      <c r="R112" s="3" t="s">
        <v>9</v>
      </c>
      <c r="S112" s="20">
        <v>2000</v>
      </c>
      <c r="T112" s="3" t="s">
        <v>302</v>
      </c>
      <c r="U112" s="3" t="s">
        <v>502</v>
      </c>
      <c r="V112" s="3" t="s">
        <v>502</v>
      </c>
      <c r="W112" s="3" t="s">
        <v>502</v>
      </c>
    </row>
    <row r="113" spans="1:23" s="3" customFormat="1" x14ac:dyDescent="0.25">
      <c r="A113" s="3" t="s">
        <v>297</v>
      </c>
      <c r="B113" s="3" t="s">
        <v>519</v>
      </c>
      <c r="C113" s="3" t="s">
        <v>86</v>
      </c>
      <c r="D113" s="3" t="s">
        <v>130</v>
      </c>
      <c r="E113" s="3" t="s">
        <v>299</v>
      </c>
      <c r="F113" s="3" t="s">
        <v>584</v>
      </c>
      <c r="G113" s="3" t="s">
        <v>735</v>
      </c>
      <c r="H113" s="3" t="s">
        <v>16</v>
      </c>
      <c r="I113" s="3">
        <v>70</v>
      </c>
      <c r="J113" s="3" t="s">
        <v>502</v>
      </c>
      <c r="K113" s="4">
        <v>46218</v>
      </c>
      <c r="L113" s="3" t="s">
        <v>298</v>
      </c>
      <c r="M113" s="3" t="s">
        <v>298</v>
      </c>
      <c r="N113" s="3" t="s">
        <v>731</v>
      </c>
      <c r="O113" s="3" t="s">
        <v>732</v>
      </c>
      <c r="P113" s="3" t="s">
        <v>502</v>
      </c>
      <c r="Q113" s="3" t="s">
        <v>502</v>
      </c>
      <c r="R113" s="3" t="s">
        <v>9</v>
      </c>
      <c r="S113" s="20">
        <v>6750</v>
      </c>
      <c r="T113" s="3" t="s">
        <v>303</v>
      </c>
      <c r="U113" s="3" t="s">
        <v>502</v>
      </c>
      <c r="V113" s="3" t="s">
        <v>502</v>
      </c>
      <c r="W113" s="3" t="s">
        <v>502</v>
      </c>
    </row>
    <row r="114" spans="1:23" s="3" customFormat="1" x14ac:dyDescent="0.25">
      <c r="A114" s="3" t="s">
        <v>304</v>
      </c>
      <c r="B114" s="3" t="s">
        <v>517</v>
      </c>
      <c r="C114" s="3" t="s">
        <v>86</v>
      </c>
      <c r="D114" s="3" t="s">
        <v>148</v>
      </c>
      <c r="E114" s="3" t="s">
        <v>306</v>
      </c>
      <c r="F114" s="3" t="s">
        <v>582</v>
      </c>
      <c r="G114" s="3" t="s">
        <v>736</v>
      </c>
      <c r="H114" s="3" t="s">
        <v>16</v>
      </c>
      <c r="I114" s="3">
        <v>71</v>
      </c>
      <c r="J114" s="3" t="s">
        <v>502</v>
      </c>
      <c r="K114" s="4">
        <v>46218</v>
      </c>
      <c r="L114" s="3" t="s">
        <v>305</v>
      </c>
      <c r="M114" s="3" t="s">
        <v>737</v>
      </c>
      <c r="N114" s="3" t="s">
        <v>502</v>
      </c>
      <c r="O114" s="3" t="s">
        <v>502</v>
      </c>
      <c r="P114" s="3" t="s">
        <v>305</v>
      </c>
      <c r="Q114" s="3" t="s">
        <v>737</v>
      </c>
      <c r="R114" s="3" t="s">
        <v>9</v>
      </c>
      <c r="S114" s="20">
        <v>-300</v>
      </c>
      <c r="T114" s="3" t="s">
        <v>307</v>
      </c>
      <c r="U114" s="3" t="s">
        <v>502</v>
      </c>
      <c r="V114" s="3" t="s">
        <v>502</v>
      </c>
      <c r="W114" s="3" t="s">
        <v>502</v>
      </c>
    </row>
    <row r="115" spans="1:23" s="3" customFormat="1" x14ac:dyDescent="0.25">
      <c r="A115" s="3" t="s">
        <v>304</v>
      </c>
      <c r="B115" s="3" t="s">
        <v>517</v>
      </c>
      <c r="C115" s="3" t="s">
        <v>86</v>
      </c>
      <c r="D115" s="3" t="s">
        <v>148</v>
      </c>
      <c r="E115" s="3" t="s">
        <v>306</v>
      </c>
      <c r="F115" s="3" t="s">
        <v>584</v>
      </c>
      <c r="G115" s="3" t="s">
        <v>738</v>
      </c>
      <c r="H115" s="3" t="s">
        <v>16</v>
      </c>
      <c r="I115" s="3">
        <v>71</v>
      </c>
      <c r="J115" s="3" t="s">
        <v>502</v>
      </c>
      <c r="K115" s="4">
        <v>46218</v>
      </c>
      <c r="L115" s="3" t="s">
        <v>305</v>
      </c>
      <c r="M115" s="3" t="s">
        <v>737</v>
      </c>
      <c r="N115" s="3" t="s">
        <v>502</v>
      </c>
      <c r="O115" s="3" t="s">
        <v>502</v>
      </c>
      <c r="P115" s="3" t="s">
        <v>305</v>
      </c>
      <c r="Q115" s="3" t="s">
        <v>737</v>
      </c>
      <c r="R115" s="3" t="s">
        <v>9</v>
      </c>
      <c r="S115" s="20">
        <v>-123</v>
      </c>
      <c r="T115" s="3" t="s">
        <v>308</v>
      </c>
      <c r="U115" s="3" t="s">
        <v>502</v>
      </c>
      <c r="V115" s="3" t="s">
        <v>502</v>
      </c>
      <c r="W115" s="3" t="s">
        <v>502</v>
      </c>
    </row>
    <row r="116" spans="1:23" s="3" customFormat="1" x14ac:dyDescent="0.25">
      <c r="A116" s="3" t="s">
        <v>304</v>
      </c>
      <c r="B116" s="3" t="s">
        <v>517</v>
      </c>
      <c r="C116" s="3" t="s">
        <v>86</v>
      </c>
      <c r="D116" s="3" t="s">
        <v>148</v>
      </c>
      <c r="E116" s="3" t="s">
        <v>306</v>
      </c>
      <c r="F116" s="3" t="s">
        <v>584</v>
      </c>
      <c r="G116" s="3" t="s">
        <v>739</v>
      </c>
      <c r="H116" s="3" t="s">
        <v>16</v>
      </c>
      <c r="I116" s="3">
        <v>72</v>
      </c>
      <c r="J116" s="3" t="s">
        <v>502</v>
      </c>
      <c r="K116" s="4">
        <v>46218</v>
      </c>
      <c r="L116" s="3" t="s">
        <v>305</v>
      </c>
      <c r="M116" s="3" t="s">
        <v>737</v>
      </c>
      <c r="N116" s="3" t="s">
        <v>502</v>
      </c>
      <c r="O116" s="3" t="s">
        <v>502</v>
      </c>
      <c r="P116" s="3" t="s">
        <v>305</v>
      </c>
      <c r="Q116" s="3" t="s">
        <v>737</v>
      </c>
      <c r="R116" s="3" t="s">
        <v>9</v>
      </c>
      <c r="S116" s="20">
        <v>-177</v>
      </c>
      <c r="T116" s="3" t="s">
        <v>309</v>
      </c>
      <c r="U116" s="3" t="s">
        <v>502</v>
      </c>
      <c r="V116" s="3" t="s">
        <v>502</v>
      </c>
      <c r="W116" s="3" t="s">
        <v>502</v>
      </c>
    </row>
    <row r="117" spans="1:23" s="3" customFormat="1" x14ac:dyDescent="0.25">
      <c r="A117" s="3" t="s">
        <v>310</v>
      </c>
      <c r="B117" s="3" t="s">
        <v>519</v>
      </c>
      <c r="C117" s="3" t="s">
        <v>86</v>
      </c>
      <c r="D117" s="3" t="s">
        <v>148</v>
      </c>
      <c r="E117" s="3" t="s">
        <v>312</v>
      </c>
      <c r="F117" s="3" t="s">
        <v>582</v>
      </c>
      <c r="G117" s="3" t="s">
        <v>740</v>
      </c>
      <c r="H117" s="3" t="s">
        <v>16</v>
      </c>
      <c r="I117" s="3">
        <v>72</v>
      </c>
      <c r="J117" s="3" t="s">
        <v>502</v>
      </c>
      <c r="K117" s="4">
        <v>46218</v>
      </c>
      <c r="L117" s="3" t="s">
        <v>311</v>
      </c>
      <c r="M117" s="3" t="s">
        <v>741</v>
      </c>
      <c r="N117" s="3" t="s">
        <v>502</v>
      </c>
      <c r="O117" s="3" t="s">
        <v>502</v>
      </c>
      <c r="P117" s="3" t="s">
        <v>311</v>
      </c>
      <c r="Q117" s="3" t="s">
        <v>741</v>
      </c>
      <c r="R117" s="3" t="s">
        <v>9</v>
      </c>
      <c r="S117" s="20">
        <v>-123</v>
      </c>
      <c r="T117" s="3" t="s">
        <v>313</v>
      </c>
      <c r="U117" s="3" t="s">
        <v>502</v>
      </c>
      <c r="V117" s="3" t="s">
        <v>502</v>
      </c>
      <c r="W117" s="3" t="s">
        <v>502</v>
      </c>
    </row>
    <row r="118" spans="1:23" s="3" customFormat="1" x14ac:dyDescent="0.25">
      <c r="A118" s="3" t="s">
        <v>310</v>
      </c>
      <c r="B118" s="3" t="s">
        <v>519</v>
      </c>
      <c r="C118" s="3" t="s">
        <v>86</v>
      </c>
      <c r="D118" s="3" t="s">
        <v>148</v>
      </c>
      <c r="E118" s="3" t="s">
        <v>312</v>
      </c>
      <c r="F118" s="3" t="s">
        <v>582</v>
      </c>
      <c r="G118" s="3" t="s">
        <v>742</v>
      </c>
      <c r="H118" s="3" t="s">
        <v>16</v>
      </c>
      <c r="I118" s="3">
        <v>73</v>
      </c>
      <c r="J118" s="3" t="s">
        <v>502</v>
      </c>
      <c r="K118" s="4">
        <v>46218</v>
      </c>
      <c r="L118" s="3" t="s">
        <v>311</v>
      </c>
      <c r="M118" s="3" t="s">
        <v>741</v>
      </c>
      <c r="N118" s="3" t="s">
        <v>502</v>
      </c>
      <c r="O118" s="3" t="s">
        <v>502</v>
      </c>
      <c r="P118" s="3" t="s">
        <v>311</v>
      </c>
      <c r="Q118" s="3" t="s">
        <v>741</v>
      </c>
      <c r="R118" s="3" t="s">
        <v>9</v>
      </c>
      <c r="S118" s="20">
        <v>-177</v>
      </c>
      <c r="T118" s="3" t="s">
        <v>314</v>
      </c>
      <c r="U118" s="3" t="s">
        <v>502</v>
      </c>
      <c r="V118" s="3" t="s">
        <v>502</v>
      </c>
      <c r="W118" s="3" t="s">
        <v>502</v>
      </c>
    </row>
    <row r="119" spans="1:23" s="3" customFormat="1" x14ac:dyDescent="0.25">
      <c r="A119" s="3" t="s">
        <v>310</v>
      </c>
      <c r="B119" s="3" t="s">
        <v>519</v>
      </c>
      <c r="C119" s="3" t="s">
        <v>86</v>
      </c>
      <c r="D119" s="3" t="s">
        <v>148</v>
      </c>
      <c r="E119" s="3" t="s">
        <v>312</v>
      </c>
      <c r="F119" s="3" t="s">
        <v>584</v>
      </c>
      <c r="G119" s="3" t="s">
        <v>743</v>
      </c>
      <c r="H119" s="3" t="s">
        <v>16</v>
      </c>
      <c r="I119" s="3">
        <v>73</v>
      </c>
      <c r="J119" s="3" t="s">
        <v>502</v>
      </c>
      <c r="K119" s="4">
        <v>46218</v>
      </c>
      <c r="L119" s="3" t="s">
        <v>311</v>
      </c>
      <c r="M119" s="3" t="s">
        <v>741</v>
      </c>
      <c r="N119" s="3" t="s">
        <v>502</v>
      </c>
      <c r="O119" s="3" t="s">
        <v>502</v>
      </c>
      <c r="P119" s="3" t="s">
        <v>311</v>
      </c>
      <c r="Q119" s="3" t="s">
        <v>741</v>
      </c>
      <c r="R119" s="3" t="s">
        <v>9</v>
      </c>
      <c r="S119" s="20">
        <v>-300</v>
      </c>
      <c r="T119" s="3" t="s">
        <v>315</v>
      </c>
      <c r="U119" s="3" t="s">
        <v>502</v>
      </c>
      <c r="V119" s="3" t="s">
        <v>502</v>
      </c>
      <c r="W119" s="3" t="s">
        <v>502</v>
      </c>
    </row>
    <row r="120" spans="1:23" s="3" customFormat="1" x14ac:dyDescent="0.25">
      <c r="A120" s="3" t="s">
        <v>316</v>
      </c>
      <c r="B120" s="3" t="s">
        <v>517</v>
      </c>
      <c r="C120" s="3" t="s">
        <v>86</v>
      </c>
      <c r="D120" s="3" t="s">
        <v>130</v>
      </c>
      <c r="E120" s="3" t="s">
        <v>318</v>
      </c>
      <c r="F120" s="3" t="s">
        <v>582</v>
      </c>
      <c r="G120" s="3" t="s">
        <v>744</v>
      </c>
      <c r="H120" s="3" t="s">
        <v>16</v>
      </c>
      <c r="I120" s="3">
        <v>77</v>
      </c>
      <c r="J120" s="3" t="s">
        <v>502</v>
      </c>
      <c r="K120" s="4">
        <v>46218</v>
      </c>
      <c r="L120" s="3" t="s">
        <v>317</v>
      </c>
      <c r="M120" s="3" t="s">
        <v>317</v>
      </c>
      <c r="N120" s="3" t="s">
        <v>745</v>
      </c>
      <c r="O120" s="3" t="s">
        <v>746</v>
      </c>
      <c r="P120" s="3" t="s">
        <v>502</v>
      </c>
      <c r="Q120" s="3" t="s">
        <v>502</v>
      </c>
      <c r="R120" s="3" t="s">
        <v>9</v>
      </c>
      <c r="S120" s="20">
        <v>6750</v>
      </c>
      <c r="T120" s="3" t="s">
        <v>319</v>
      </c>
      <c r="U120" s="3" t="s">
        <v>502</v>
      </c>
      <c r="V120" s="3" t="s">
        <v>502</v>
      </c>
      <c r="W120" s="3" t="s">
        <v>502</v>
      </c>
    </row>
    <row r="121" spans="1:23" s="3" customFormat="1" x14ac:dyDescent="0.25">
      <c r="A121" s="3" t="s">
        <v>316</v>
      </c>
      <c r="B121" s="3" t="s">
        <v>517</v>
      </c>
      <c r="C121" s="3" t="s">
        <v>86</v>
      </c>
      <c r="D121" s="3" t="s">
        <v>130</v>
      </c>
      <c r="E121" s="3" t="s">
        <v>318</v>
      </c>
      <c r="F121" s="3" t="s">
        <v>584</v>
      </c>
      <c r="G121" s="3" t="s">
        <v>747</v>
      </c>
      <c r="H121" s="3" t="s">
        <v>16</v>
      </c>
      <c r="I121" s="3">
        <v>77</v>
      </c>
      <c r="J121" s="3" t="s">
        <v>502</v>
      </c>
      <c r="K121" s="4">
        <v>46218</v>
      </c>
      <c r="L121" s="3" t="s">
        <v>317</v>
      </c>
      <c r="M121" s="3" t="s">
        <v>317</v>
      </c>
      <c r="N121" s="3" t="s">
        <v>745</v>
      </c>
      <c r="O121" s="3" t="s">
        <v>746</v>
      </c>
      <c r="P121" s="3" t="s">
        <v>502</v>
      </c>
      <c r="Q121" s="3" t="s">
        <v>502</v>
      </c>
      <c r="R121" s="3" t="s">
        <v>9</v>
      </c>
      <c r="S121" s="20">
        <v>2500</v>
      </c>
      <c r="T121" s="3" t="s">
        <v>320</v>
      </c>
      <c r="U121" s="3" t="s">
        <v>502</v>
      </c>
      <c r="V121" s="3" t="s">
        <v>502</v>
      </c>
      <c r="W121" s="3" t="s">
        <v>502</v>
      </c>
    </row>
    <row r="122" spans="1:23" s="3" customFormat="1" x14ac:dyDescent="0.25">
      <c r="A122" s="3" t="s">
        <v>316</v>
      </c>
      <c r="B122" s="3" t="s">
        <v>517</v>
      </c>
      <c r="C122" s="3" t="s">
        <v>86</v>
      </c>
      <c r="D122" s="3" t="s">
        <v>130</v>
      </c>
      <c r="E122" s="3" t="s">
        <v>318</v>
      </c>
      <c r="F122" s="3" t="s">
        <v>584</v>
      </c>
      <c r="G122" s="3" t="s">
        <v>748</v>
      </c>
      <c r="H122" s="3" t="s">
        <v>16</v>
      </c>
      <c r="I122" s="3">
        <v>78</v>
      </c>
      <c r="J122" s="3" t="s">
        <v>502</v>
      </c>
      <c r="K122" s="4">
        <v>46218</v>
      </c>
      <c r="L122" s="3" t="s">
        <v>317</v>
      </c>
      <c r="M122" s="3" t="s">
        <v>317</v>
      </c>
      <c r="N122" s="3" t="s">
        <v>745</v>
      </c>
      <c r="O122" s="3" t="s">
        <v>746</v>
      </c>
      <c r="P122" s="3" t="s">
        <v>502</v>
      </c>
      <c r="Q122" s="3" t="s">
        <v>502</v>
      </c>
      <c r="R122" s="3" t="s">
        <v>9</v>
      </c>
      <c r="S122" s="20">
        <v>2250</v>
      </c>
      <c r="T122" s="3" t="s">
        <v>321</v>
      </c>
      <c r="U122" s="3" t="s">
        <v>502</v>
      </c>
      <c r="V122" s="3" t="s">
        <v>502</v>
      </c>
      <c r="W122" s="3" t="s">
        <v>502</v>
      </c>
    </row>
    <row r="123" spans="1:23" s="3" customFormat="1" x14ac:dyDescent="0.25">
      <c r="A123" s="3" t="s">
        <v>316</v>
      </c>
      <c r="B123" s="3" t="s">
        <v>517</v>
      </c>
      <c r="C123" s="3" t="s">
        <v>86</v>
      </c>
      <c r="D123" s="3" t="s">
        <v>130</v>
      </c>
      <c r="E123" s="3" t="s">
        <v>318</v>
      </c>
      <c r="F123" s="3" t="s">
        <v>584</v>
      </c>
      <c r="G123" s="3" t="s">
        <v>749</v>
      </c>
      <c r="H123" s="3" t="s">
        <v>16</v>
      </c>
      <c r="I123" s="3">
        <v>79</v>
      </c>
      <c r="J123" s="3" t="s">
        <v>502</v>
      </c>
      <c r="K123" s="4">
        <v>46218</v>
      </c>
      <c r="L123" s="3" t="s">
        <v>317</v>
      </c>
      <c r="M123" s="3" t="s">
        <v>317</v>
      </c>
      <c r="N123" s="3" t="s">
        <v>745</v>
      </c>
      <c r="O123" s="3" t="s">
        <v>746</v>
      </c>
      <c r="P123" s="3" t="s">
        <v>502</v>
      </c>
      <c r="Q123" s="3" t="s">
        <v>502</v>
      </c>
      <c r="R123" s="3" t="s">
        <v>9</v>
      </c>
      <c r="S123" s="20">
        <v>2000</v>
      </c>
      <c r="T123" s="3" t="s">
        <v>322</v>
      </c>
      <c r="U123" s="3" t="s">
        <v>502</v>
      </c>
      <c r="V123" s="3" t="s">
        <v>502</v>
      </c>
      <c r="W123" s="3" t="s">
        <v>502</v>
      </c>
    </row>
    <row r="124" spans="1:23" s="3" customFormat="1" x14ac:dyDescent="0.25">
      <c r="A124" s="3" t="s">
        <v>323</v>
      </c>
      <c r="B124" s="3" t="s">
        <v>519</v>
      </c>
      <c r="C124" s="3" t="s">
        <v>86</v>
      </c>
      <c r="D124" s="3" t="s">
        <v>130</v>
      </c>
      <c r="E124" s="3" t="s">
        <v>325</v>
      </c>
      <c r="F124" s="3" t="s">
        <v>582</v>
      </c>
      <c r="G124" s="3" t="s">
        <v>750</v>
      </c>
      <c r="H124" s="3" t="s">
        <v>16</v>
      </c>
      <c r="I124" s="3">
        <v>78</v>
      </c>
      <c r="J124" s="3" t="s">
        <v>502</v>
      </c>
      <c r="K124" s="4">
        <v>46218</v>
      </c>
      <c r="L124" s="3" t="s">
        <v>324</v>
      </c>
      <c r="M124" s="3" t="s">
        <v>324</v>
      </c>
      <c r="N124" s="3" t="s">
        <v>751</v>
      </c>
      <c r="O124" s="3" t="s">
        <v>752</v>
      </c>
      <c r="P124" s="3" t="s">
        <v>502</v>
      </c>
      <c r="Q124" s="3" t="s">
        <v>502</v>
      </c>
      <c r="R124" s="3" t="s">
        <v>9</v>
      </c>
      <c r="S124" s="20">
        <v>2500</v>
      </c>
      <c r="T124" s="3" t="s">
        <v>326</v>
      </c>
      <c r="U124" s="3" t="s">
        <v>502</v>
      </c>
      <c r="V124" s="3" t="s">
        <v>502</v>
      </c>
      <c r="W124" s="3" t="s">
        <v>502</v>
      </c>
    </row>
    <row r="125" spans="1:23" s="3" customFormat="1" x14ac:dyDescent="0.25">
      <c r="A125" s="3" t="s">
        <v>323</v>
      </c>
      <c r="B125" s="3" t="s">
        <v>519</v>
      </c>
      <c r="C125" s="3" t="s">
        <v>86</v>
      </c>
      <c r="D125" s="3" t="s">
        <v>130</v>
      </c>
      <c r="E125" s="3" t="s">
        <v>325</v>
      </c>
      <c r="F125" s="3" t="s">
        <v>582</v>
      </c>
      <c r="G125" s="3" t="s">
        <v>753</v>
      </c>
      <c r="H125" s="3" t="s">
        <v>16</v>
      </c>
      <c r="I125" s="3">
        <v>79</v>
      </c>
      <c r="J125" s="3" t="s">
        <v>502</v>
      </c>
      <c r="K125" s="4">
        <v>46218</v>
      </c>
      <c r="L125" s="3" t="s">
        <v>324</v>
      </c>
      <c r="M125" s="3" t="s">
        <v>324</v>
      </c>
      <c r="N125" s="3" t="s">
        <v>751</v>
      </c>
      <c r="O125" s="3" t="s">
        <v>752</v>
      </c>
      <c r="P125" s="3" t="s">
        <v>502</v>
      </c>
      <c r="Q125" s="3" t="s">
        <v>502</v>
      </c>
      <c r="R125" s="3" t="s">
        <v>9</v>
      </c>
      <c r="S125" s="20">
        <v>2250</v>
      </c>
      <c r="T125" s="3" t="s">
        <v>327</v>
      </c>
      <c r="U125" s="3" t="s">
        <v>502</v>
      </c>
      <c r="V125" s="3" t="s">
        <v>502</v>
      </c>
      <c r="W125" s="3" t="s">
        <v>502</v>
      </c>
    </row>
    <row r="126" spans="1:23" s="3" customFormat="1" x14ac:dyDescent="0.25">
      <c r="A126" s="3" t="s">
        <v>323</v>
      </c>
      <c r="B126" s="3" t="s">
        <v>519</v>
      </c>
      <c r="C126" s="3" t="s">
        <v>86</v>
      </c>
      <c r="D126" s="3" t="s">
        <v>130</v>
      </c>
      <c r="E126" s="3" t="s">
        <v>325</v>
      </c>
      <c r="F126" s="3" t="s">
        <v>582</v>
      </c>
      <c r="G126" s="3" t="s">
        <v>754</v>
      </c>
      <c r="H126" s="3" t="s">
        <v>16</v>
      </c>
      <c r="I126" s="3">
        <v>80</v>
      </c>
      <c r="J126" s="3" t="s">
        <v>502</v>
      </c>
      <c r="K126" s="4">
        <v>46218</v>
      </c>
      <c r="L126" s="3" t="s">
        <v>324</v>
      </c>
      <c r="M126" s="3" t="s">
        <v>324</v>
      </c>
      <c r="N126" s="3" t="s">
        <v>751</v>
      </c>
      <c r="O126" s="3" t="s">
        <v>752</v>
      </c>
      <c r="P126" s="3" t="s">
        <v>502</v>
      </c>
      <c r="Q126" s="3" t="s">
        <v>502</v>
      </c>
      <c r="R126" s="3" t="s">
        <v>9</v>
      </c>
      <c r="S126" s="20">
        <v>2000</v>
      </c>
      <c r="T126" s="3" t="s">
        <v>328</v>
      </c>
      <c r="U126" s="3" t="s">
        <v>502</v>
      </c>
      <c r="V126" s="3" t="s">
        <v>502</v>
      </c>
      <c r="W126" s="3" t="s">
        <v>502</v>
      </c>
    </row>
    <row r="127" spans="1:23" s="3" customFormat="1" x14ac:dyDescent="0.25">
      <c r="A127" s="3" t="s">
        <v>323</v>
      </c>
      <c r="B127" s="3" t="s">
        <v>519</v>
      </c>
      <c r="C127" s="3" t="s">
        <v>86</v>
      </c>
      <c r="D127" s="3" t="s">
        <v>130</v>
      </c>
      <c r="E127" s="3" t="s">
        <v>325</v>
      </c>
      <c r="F127" s="3" t="s">
        <v>584</v>
      </c>
      <c r="G127" s="3" t="s">
        <v>755</v>
      </c>
      <c r="H127" s="3" t="s">
        <v>16</v>
      </c>
      <c r="I127" s="3">
        <v>80</v>
      </c>
      <c r="J127" s="3" t="s">
        <v>502</v>
      </c>
      <c r="K127" s="4">
        <v>46218</v>
      </c>
      <c r="L127" s="3" t="s">
        <v>324</v>
      </c>
      <c r="M127" s="3" t="s">
        <v>324</v>
      </c>
      <c r="N127" s="3" t="s">
        <v>751</v>
      </c>
      <c r="O127" s="3" t="s">
        <v>752</v>
      </c>
      <c r="P127" s="3" t="s">
        <v>502</v>
      </c>
      <c r="Q127" s="3" t="s">
        <v>502</v>
      </c>
      <c r="R127" s="3" t="s">
        <v>9</v>
      </c>
      <c r="S127" s="20">
        <v>6750</v>
      </c>
      <c r="T127" s="3" t="s">
        <v>329</v>
      </c>
      <c r="U127" s="3" t="s">
        <v>502</v>
      </c>
      <c r="V127" s="3" t="s">
        <v>502</v>
      </c>
      <c r="W127" s="3" t="s">
        <v>502</v>
      </c>
    </row>
    <row r="128" spans="1:23" s="3" customFormat="1" x14ac:dyDescent="0.25">
      <c r="A128" s="3" t="s">
        <v>330</v>
      </c>
      <c r="B128" s="3" t="s">
        <v>517</v>
      </c>
      <c r="C128" s="3" t="s">
        <v>86</v>
      </c>
      <c r="D128" s="3" t="s">
        <v>148</v>
      </c>
      <c r="E128" s="3" t="s">
        <v>332</v>
      </c>
      <c r="F128" s="3" t="s">
        <v>582</v>
      </c>
      <c r="G128" s="3" t="s">
        <v>756</v>
      </c>
      <c r="H128" s="3" t="s">
        <v>16</v>
      </c>
      <c r="I128" s="3">
        <v>81</v>
      </c>
      <c r="J128" s="3" t="s">
        <v>502</v>
      </c>
      <c r="K128" s="4">
        <v>46218</v>
      </c>
      <c r="L128" s="3" t="s">
        <v>331</v>
      </c>
      <c r="M128" s="3" t="s">
        <v>757</v>
      </c>
      <c r="N128" s="3" t="s">
        <v>502</v>
      </c>
      <c r="O128" s="3" t="s">
        <v>502</v>
      </c>
      <c r="P128" s="3" t="s">
        <v>331</v>
      </c>
      <c r="Q128" s="3" t="s">
        <v>757</v>
      </c>
      <c r="R128" s="3" t="s">
        <v>9</v>
      </c>
      <c r="S128" s="20">
        <v>-300</v>
      </c>
      <c r="T128" s="3" t="s">
        <v>333</v>
      </c>
      <c r="U128" s="3" t="s">
        <v>502</v>
      </c>
      <c r="V128" s="3" t="s">
        <v>502</v>
      </c>
      <c r="W128" s="3" t="s">
        <v>502</v>
      </c>
    </row>
    <row r="129" spans="1:23" s="3" customFormat="1" x14ac:dyDescent="0.25">
      <c r="A129" s="3" t="s">
        <v>330</v>
      </c>
      <c r="B129" s="3" t="s">
        <v>517</v>
      </c>
      <c r="C129" s="3" t="s">
        <v>86</v>
      </c>
      <c r="D129" s="3" t="s">
        <v>148</v>
      </c>
      <c r="E129" s="3" t="s">
        <v>332</v>
      </c>
      <c r="F129" s="3" t="s">
        <v>584</v>
      </c>
      <c r="G129" s="3" t="s">
        <v>758</v>
      </c>
      <c r="H129" s="3" t="s">
        <v>16</v>
      </c>
      <c r="I129" s="3">
        <v>81</v>
      </c>
      <c r="J129" s="3" t="s">
        <v>502</v>
      </c>
      <c r="K129" s="4">
        <v>46218</v>
      </c>
      <c r="L129" s="3" t="s">
        <v>331</v>
      </c>
      <c r="M129" s="3" t="s">
        <v>757</v>
      </c>
      <c r="N129" s="3" t="s">
        <v>502</v>
      </c>
      <c r="O129" s="3" t="s">
        <v>502</v>
      </c>
      <c r="P129" s="3" t="s">
        <v>331</v>
      </c>
      <c r="Q129" s="3" t="s">
        <v>757</v>
      </c>
      <c r="R129" s="3" t="s">
        <v>9</v>
      </c>
      <c r="S129" s="20">
        <v>-123</v>
      </c>
      <c r="T129" s="3" t="s">
        <v>334</v>
      </c>
      <c r="U129" s="3" t="s">
        <v>502</v>
      </c>
      <c r="V129" s="3" t="s">
        <v>502</v>
      </c>
      <c r="W129" s="3" t="s">
        <v>502</v>
      </c>
    </row>
    <row r="130" spans="1:23" s="3" customFormat="1" x14ac:dyDescent="0.25">
      <c r="A130" s="3" t="s">
        <v>330</v>
      </c>
      <c r="B130" s="3" t="s">
        <v>517</v>
      </c>
      <c r="C130" s="3" t="s">
        <v>86</v>
      </c>
      <c r="D130" s="3" t="s">
        <v>148</v>
      </c>
      <c r="E130" s="3" t="s">
        <v>332</v>
      </c>
      <c r="F130" s="3" t="s">
        <v>584</v>
      </c>
      <c r="G130" s="3" t="s">
        <v>759</v>
      </c>
      <c r="H130" s="3" t="s">
        <v>16</v>
      </c>
      <c r="I130" s="3">
        <v>82</v>
      </c>
      <c r="J130" s="3" t="s">
        <v>502</v>
      </c>
      <c r="K130" s="4">
        <v>46218</v>
      </c>
      <c r="L130" s="3" t="s">
        <v>331</v>
      </c>
      <c r="M130" s="3" t="s">
        <v>757</v>
      </c>
      <c r="N130" s="3" t="s">
        <v>502</v>
      </c>
      <c r="O130" s="3" t="s">
        <v>502</v>
      </c>
      <c r="P130" s="3" t="s">
        <v>331</v>
      </c>
      <c r="Q130" s="3" t="s">
        <v>757</v>
      </c>
      <c r="R130" s="3" t="s">
        <v>9</v>
      </c>
      <c r="S130" s="20">
        <v>-177</v>
      </c>
      <c r="T130" s="3" t="s">
        <v>335</v>
      </c>
      <c r="U130" s="3" t="s">
        <v>502</v>
      </c>
      <c r="V130" s="3" t="s">
        <v>502</v>
      </c>
      <c r="W130" s="3" t="s">
        <v>502</v>
      </c>
    </row>
    <row r="131" spans="1:23" s="3" customFormat="1" x14ac:dyDescent="0.25">
      <c r="A131" s="3" t="s">
        <v>336</v>
      </c>
      <c r="B131" s="3" t="s">
        <v>519</v>
      </c>
      <c r="C131" s="3" t="s">
        <v>86</v>
      </c>
      <c r="D131" s="3" t="s">
        <v>148</v>
      </c>
      <c r="E131" s="3" t="s">
        <v>338</v>
      </c>
      <c r="F131" s="3" t="s">
        <v>582</v>
      </c>
      <c r="G131" s="3" t="s">
        <v>760</v>
      </c>
      <c r="H131" s="3" t="s">
        <v>16</v>
      </c>
      <c r="I131" s="3">
        <v>82</v>
      </c>
      <c r="J131" s="3" t="s">
        <v>502</v>
      </c>
      <c r="K131" s="4">
        <v>46218</v>
      </c>
      <c r="L131" s="3" t="s">
        <v>337</v>
      </c>
      <c r="M131" s="3" t="s">
        <v>761</v>
      </c>
      <c r="N131" s="3" t="s">
        <v>502</v>
      </c>
      <c r="O131" s="3" t="s">
        <v>502</v>
      </c>
      <c r="P131" s="3" t="s">
        <v>337</v>
      </c>
      <c r="Q131" s="3" t="s">
        <v>761</v>
      </c>
      <c r="R131" s="3" t="s">
        <v>9</v>
      </c>
      <c r="S131" s="20">
        <v>-123</v>
      </c>
      <c r="T131" s="3" t="s">
        <v>339</v>
      </c>
      <c r="U131" s="3" t="s">
        <v>502</v>
      </c>
      <c r="V131" s="3" t="s">
        <v>502</v>
      </c>
      <c r="W131" s="3" t="s">
        <v>502</v>
      </c>
    </row>
    <row r="132" spans="1:23" s="3" customFormat="1" x14ac:dyDescent="0.25">
      <c r="A132" s="3" t="s">
        <v>336</v>
      </c>
      <c r="B132" s="3" t="s">
        <v>519</v>
      </c>
      <c r="C132" s="3" t="s">
        <v>86</v>
      </c>
      <c r="D132" s="3" t="s">
        <v>148</v>
      </c>
      <c r="E132" s="3" t="s">
        <v>338</v>
      </c>
      <c r="F132" s="3" t="s">
        <v>582</v>
      </c>
      <c r="G132" s="3" t="s">
        <v>762</v>
      </c>
      <c r="H132" s="3" t="s">
        <v>16</v>
      </c>
      <c r="I132" s="3">
        <v>83</v>
      </c>
      <c r="J132" s="3" t="s">
        <v>502</v>
      </c>
      <c r="K132" s="4">
        <v>46218</v>
      </c>
      <c r="L132" s="3" t="s">
        <v>337</v>
      </c>
      <c r="M132" s="3" t="s">
        <v>761</v>
      </c>
      <c r="N132" s="3" t="s">
        <v>502</v>
      </c>
      <c r="O132" s="3" t="s">
        <v>502</v>
      </c>
      <c r="P132" s="3" t="s">
        <v>337</v>
      </c>
      <c r="Q132" s="3" t="s">
        <v>761</v>
      </c>
      <c r="R132" s="3" t="s">
        <v>9</v>
      </c>
      <c r="S132" s="20">
        <v>-177</v>
      </c>
      <c r="T132" s="3" t="s">
        <v>340</v>
      </c>
      <c r="U132" s="3" t="s">
        <v>502</v>
      </c>
      <c r="V132" s="3" t="s">
        <v>502</v>
      </c>
      <c r="W132" s="3" t="s">
        <v>502</v>
      </c>
    </row>
    <row r="133" spans="1:23" s="3" customFormat="1" x14ac:dyDescent="0.25">
      <c r="A133" s="3" t="s">
        <v>336</v>
      </c>
      <c r="B133" s="3" t="s">
        <v>519</v>
      </c>
      <c r="C133" s="3" t="s">
        <v>86</v>
      </c>
      <c r="D133" s="3" t="s">
        <v>148</v>
      </c>
      <c r="E133" s="3" t="s">
        <v>338</v>
      </c>
      <c r="F133" s="3" t="s">
        <v>584</v>
      </c>
      <c r="G133" s="3" t="s">
        <v>763</v>
      </c>
      <c r="H133" s="3" t="s">
        <v>16</v>
      </c>
      <c r="I133" s="3">
        <v>83</v>
      </c>
      <c r="J133" s="3" t="s">
        <v>502</v>
      </c>
      <c r="K133" s="4">
        <v>46218</v>
      </c>
      <c r="L133" s="3" t="s">
        <v>337</v>
      </c>
      <c r="M133" s="3" t="s">
        <v>761</v>
      </c>
      <c r="N133" s="3" t="s">
        <v>502</v>
      </c>
      <c r="O133" s="3" t="s">
        <v>502</v>
      </c>
      <c r="P133" s="3" t="s">
        <v>337</v>
      </c>
      <c r="Q133" s="3" t="s">
        <v>761</v>
      </c>
      <c r="R133" s="3" t="s">
        <v>9</v>
      </c>
      <c r="S133" s="20">
        <v>-300</v>
      </c>
      <c r="T133" s="3" t="s">
        <v>341</v>
      </c>
      <c r="U133" s="3" t="s">
        <v>502</v>
      </c>
      <c r="V133" s="3" t="s">
        <v>502</v>
      </c>
      <c r="W133" s="3" t="s">
        <v>502</v>
      </c>
    </row>
    <row r="134" spans="1:23" s="3" customFormat="1" x14ac:dyDescent="0.25">
      <c r="A134" s="3" t="s">
        <v>342</v>
      </c>
      <c r="B134" s="3" t="s">
        <v>517</v>
      </c>
      <c r="C134" s="3" t="s">
        <v>86</v>
      </c>
      <c r="D134" s="3" t="s">
        <v>130</v>
      </c>
      <c r="E134" s="3" t="s">
        <v>344</v>
      </c>
      <c r="F134" s="3" t="s">
        <v>582</v>
      </c>
      <c r="G134" s="3" t="s">
        <v>764</v>
      </c>
      <c r="H134" s="3" t="s">
        <v>16</v>
      </c>
      <c r="I134" s="3">
        <v>87</v>
      </c>
      <c r="J134" s="3" t="s">
        <v>502</v>
      </c>
      <c r="K134" s="4">
        <v>46218</v>
      </c>
      <c r="L134" s="3" t="s">
        <v>343</v>
      </c>
      <c r="M134" s="3" t="s">
        <v>343</v>
      </c>
      <c r="N134" s="3" t="s">
        <v>765</v>
      </c>
      <c r="O134" s="3" t="s">
        <v>766</v>
      </c>
      <c r="P134" s="3" t="s">
        <v>502</v>
      </c>
      <c r="Q134" s="3" t="s">
        <v>502</v>
      </c>
      <c r="R134" s="3" t="s">
        <v>9</v>
      </c>
      <c r="S134" s="20">
        <v>6750</v>
      </c>
      <c r="T134" s="3" t="s">
        <v>345</v>
      </c>
      <c r="U134" s="3" t="s">
        <v>502</v>
      </c>
      <c r="V134" s="3" t="s">
        <v>502</v>
      </c>
      <c r="W134" s="3" t="s">
        <v>502</v>
      </c>
    </row>
    <row r="135" spans="1:23" s="3" customFormat="1" x14ac:dyDescent="0.25">
      <c r="A135" s="3" t="s">
        <v>342</v>
      </c>
      <c r="B135" s="3" t="s">
        <v>517</v>
      </c>
      <c r="C135" s="3" t="s">
        <v>86</v>
      </c>
      <c r="D135" s="3" t="s">
        <v>130</v>
      </c>
      <c r="E135" s="3" t="s">
        <v>344</v>
      </c>
      <c r="F135" s="3" t="s">
        <v>584</v>
      </c>
      <c r="G135" s="3" t="s">
        <v>767</v>
      </c>
      <c r="H135" s="3" t="s">
        <v>16</v>
      </c>
      <c r="I135" s="3">
        <v>87</v>
      </c>
      <c r="J135" s="3" t="s">
        <v>502</v>
      </c>
      <c r="K135" s="4">
        <v>46218</v>
      </c>
      <c r="L135" s="3" t="s">
        <v>343</v>
      </c>
      <c r="M135" s="3" t="s">
        <v>343</v>
      </c>
      <c r="N135" s="3" t="s">
        <v>765</v>
      </c>
      <c r="O135" s="3" t="s">
        <v>766</v>
      </c>
      <c r="P135" s="3" t="s">
        <v>502</v>
      </c>
      <c r="Q135" s="3" t="s">
        <v>502</v>
      </c>
      <c r="R135" s="3" t="s">
        <v>9</v>
      </c>
      <c r="S135" s="20">
        <v>2500</v>
      </c>
      <c r="T135" s="3" t="s">
        <v>346</v>
      </c>
      <c r="U135" s="3" t="s">
        <v>502</v>
      </c>
      <c r="V135" s="3" t="s">
        <v>502</v>
      </c>
      <c r="W135" s="3" t="s">
        <v>502</v>
      </c>
    </row>
    <row r="136" spans="1:23" s="3" customFormat="1" x14ac:dyDescent="0.25">
      <c r="A136" s="3" t="s">
        <v>342</v>
      </c>
      <c r="B136" s="3" t="s">
        <v>517</v>
      </c>
      <c r="C136" s="3" t="s">
        <v>86</v>
      </c>
      <c r="D136" s="3" t="s">
        <v>130</v>
      </c>
      <c r="E136" s="3" t="s">
        <v>344</v>
      </c>
      <c r="F136" s="3" t="s">
        <v>584</v>
      </c>
      <c r="G136" s="3" t="s">
        <v>768</v>
      </c>
      <c r="H136" s="3" t="s">
        <v>16</v>
      </c>
      <c r="I136" s="3">
        <v>88</v>
      </c>
      <c r="J136" s="3" t="s">
        <v>502</v>
      </c>
      <c r="K136" s="4">
        <v>46218</v>
      </c>
      <c r="L136" s="3" t="s">
        <v>343</v>
      </c>
      <c r="M136" s="3" t="s">
        <v>343</v>
      </c>
      <c r="N136" s="3" t="s">
        <v>765</v>
      </c>
      <c r="O136" s="3" t="s">
        <v>766</v>
      </c>
      <c r="P136" s="3" t="s">
        <v>502</v>
      </c>
      <c r="Q136" s="3" t="s">
        <v>502</v>
      </c>
      <c r="R136" s="3" t="s">
        <v>9</v>
      </c>
      <c r="S136" s="20">
        <v>2250</v>
      </c>
      <c r="T136" s="3" t="s">
        <v>347</v>
      </c>
      <c r="U136" s="3" t="s">
        <v>502</v>
      </c>
      <c r="V136" s="3" t="s">
        <v>502</v>
      </c>
      <c r="W136" s="3" t="s">
        <v>502</v>
      </c>
    </row>
    <row r="137" spans="1:23" s="3" customFormat="1" x14ac:dyDescent="0.25">
      <c r="A137" s="3" t="s">
        <v>342</v>
      </c>
      <c r="B137" s="3" t="s">
        <v>517</v>
      </c>
      <c r="C137" s="3" t="s">
        <v>86</v>
      </c>
      <c r="D137" s="3" t="s">
        <v>130</v>
      </c>
      <c r="E137" s="3" t="s">
        <v>344</v>
      </c>
      <c r="F137" s="3" t="s">
        <v>584</v>
      </c>
      <c r="G137" s="3" t="s">
        <v>769</v>
      </c>
      <c r="H137" s="3" t="s">
        <v>16</v>
      </c>
      <c r="I137" s="3">
        <v>89</v>
      </c>
      <c r="J137" s="3" t="s">
        <v>502</v>
      </c>
      <c r="K137" s="4">
        <v>46218</v>
      </c>
      <c r="L137" s="3" t="s">
        <v>343</v>
      </c>
      <c r="M137" s="3" t="s">
        <v>343</v>
      </c>
      <c r="N137" s="3" t="s">
        <v>765</v>
      </c>
      <c r="O137" s="3" t="s">
        <v>766</v>
      </c>
      <c r="P137" s="3" t="s">
        <v>502</v>
      </c>
      <c r="Q137" s="3" t="s">
        <v>502</v>
      </c>
      <c r="R137" s="3" t="s">
        <v>9</v>
      </c>
      <c r="S137" s="20">
        <v>2000</v>
      </c>
      <c r="T137" s="3" t="s">
        <v>348</v>
      </c>
      <c r="U137" s="3" t="s">
        <v>502</v>
      </c>
      <c r="V137" s="3" t="s">
        <v>502</v>
      </c>
      <c r="W137" s="3" t="s">
        <v>502</v>
      </c>
    </row>
    <row r="138" spans="1:23" s="3" customFormat="1" x14ac:dyDescent="0.25">
      <c r="A138" s="3" t="s">
        <v>349</v>
      </c>
      <c r="B138" s="3" t="s">
        <v>519</v>
      </c>
      <c r="C138" s="3" t="s">
        <v>86</v>
      </c>
      <c r="D138" s="3" t="s">
        <v>130</v>
      </c>
      <c r="E138" s="3" t="s">
        <v>351</v>
      </c>
      <c r="F138" s="3" t="s">
        <v>582</v>
      </c>
      <c r="G138" s="3" t="s">
        <v>770</v>
      </c>
      <c r="H138" s="3" t="s">
        <v>16</v>
      </c>
      <c r="I138" s="3">
        <v>88</v>
      </c>
      <c r="J138" s="3" t="s">
        <v>502</v>
      </c>
      <c r="K138" s="4">
        <v>46218</v>
      </c>
      <c r="L138" s="3" t="s">
        <v>350</v>
      </c>
      <c r="M138" s="3" t="s">
        <v>350</v>
      </c>
      <c r="N138" s="3" t="s">
        <v>771</v>
      </c>
      <c r="O138" s="3" t="s">
        <v>772</v>
      </c>
      <c r="P138" s="3" t="s">
        <v>502</v>
      </c>
      <c r="Q138" s="3" t="s">
        <v>502</v>
      </c>
      <c r="R138" s="3" t="s">
        <v>9</v>
      </c>
      <c r="S138" s="20">
        <v>2500</v>
      </c>
      <c r="T138" s="3" t="s">
        <v>352</v>
      </c>
      <c r="U138" s="3" t="s">
        <v>502</v>
      </c>
      <c r="V138" s="3" t="s">
        <v>502</v>
      </c>
      <c r="W138" s="3" t="s">
        <v>502</v>
      </c>
    </row>
    <row r="139" spans="1:23" s="3" customFormat="1" x14ac:dyDescent="0.25">
      <c r="A139" s="3" t="s">
        <v>349</v>
      </c>
      <c r="B139" s="3" t="s">
        <v>519</v>
      </c>
      <c r="C139" s="3" t="s">
        <v>86</v>
      </c>
      <c r="D139" s="3" t="s">
        <v>130</v>
      </c>
      <c r="E139" s="3" t="s">
        <v>351</v>
      </c>
      <c r="F139" s="3" t="s">
        <v>582</v>
      </c>
      <c r="G139" s="3" t="s">
        <v>773</v>
      </c>
      <c r="H139" s="3" t="s">
        <v>16</v>
      </c>
      <c r="I139" s="3">
        <v>89</v>
      </c>
      <c r="J139" s="3" t="s">
        <v>502</v>
      </c>
      <c r="K139" s="4">
        <v>46218</v>
      </c>
      <c r="L139" s="3" t="s">
        <v>350</v>
      </c>
      <c r="M139" s="3" t="s">
        <v>350</v>
      </c>
      <c r="N139" s="3" t="s">
        <v>771</v>
      </c>
      <c r="O139" s="3" t="s">
        <v>772</v>
      </c>
      <c r="P139" s="3" t="s">
        <v>502</v>
      </c>
      <c r="Q139" s="3" t="s">
        <v>502</v>
      </c>
      <c r="R139" s="3" t="s">
        <v>9</v>
      </c>
      <c r="S139" s="20">
        <v>2250</v>
      </c>
      <c r="T139" s="3" t="s">
        <v>353</v>
      </c>
      <c r="U139" s="3" t="s">
        <v>502</v>
      </c>
      <c r="V139" s="3" t="s">
        <v>502</v>
      </c>
      <c r="W139" s="3" t="s">
        <v>502</v>
      </c>
    </row>
    <row r="140" spans="1:23" s="3" customFormat="1" x14ac:dyDescent="0.25">
      <c r="A140" s="3" t="s">
        <v>349</v>
      </c>
      <c r="B140" s="3" t="s">
        <v>519</v>
      </c>
      <c r="C140" s="3" t="s">
        <v>86</v>
      </c>
      <c r="D140" s="3" t="s">
        <v>130</v>
      </c>
      <c r="E140" s="3" t="s">
        <v>351</v>
      </c>
      <c r="F140" s="3" t="s">
        <v>582</v>
      </c>
      <c r="G140" s="3" t="s">
        <v>774</v>
      </c>
      <c r="H140" s="3" t="s">
        <v>16</v>
      </c>
      <c r="I140" s="3">
        <v>90</v>
      </c>
      <c r="J140" s="3" t="s">
        <v>502</v>
      </c>
      <c r="K140" s="4">
        <v>46218</v>
      </c>
      <c r="L140" s="3" t="s">
        <v>350</v>
      </c>
      <c r="M140" s="3" t="s">
        <v>350</v>
      </c>
      <c r="N140" s="3" t="s">
        <v>771</v>
      </c>
      <c r="O140" s="3" t="s">
        <v>772</v>
      </c>
      <c r="P140" s="3" t="s">
        <v>502</v>
      </c>
      <c r="Q140" s="3" t="s">
        <v>502</v>
      </c>
      <c r="R140" s="3" t="s">
        <v>9</v>
      </c>
      <c r="S140" s="20">
        <v>2000</v>
      </c>
      <c r="T140" s="3" t="s">
        <v>354</v>
      </c>
      <c r="U140" s="3" t="s">
        <v>502</v>
      </c>
      <c r="V140" s="3" t="s">
        <v>502</v>
      </c>
      <c r="W140" s="3" t="s">
        <v>502</v>
      </c>
    </row>
    <row r="141" spans="1:23" s="3" customFormat="1" x14ac:dyDescent="0.25">
      <c r="A141" s="3" t="s">
        <v>349</v>
      </c>
      <c r="B141" s="3" t="s">
        <v>519</v>
      </c>
      <c r="C141" s="3" t="s">
        <v>86</v>
      </c>
      <c r="D141" s="3" t="s">
        <v>130</v>
      </c>
      <c r="E141" s="3" t="s">
        <v>351</v>
      </c>
      <c r="F141" s="3" t="s">
        <v>584</v>
      </c>
      <c r="G141" s="3" t="s">
        <v>775</v>
      </c>
      <c r="H141" s="3" t="s">
        <v>16</v>
      </c>
      <c r="I141" s="3">
        <v>90</v>
      </c>
      <c r="J141" s="3" t="s">
        <v>502</v>
      </c>
      <c r="K141" s="4">
        <v>46218</v>
      </c>
      <c r="L141" s="3" t="s">
        <v>350</v>
      </c>
      <c r="M141" s="3" t="s">
        <v>350</v>
      </c>
      <c r="N141" s="3" t="s">
        <v>771</v>
      </c>
      <c r="O141" s="3" t="s">
        <v>772</v>
      </c>
      <c r="P141" s="3" t="s">
        <v>502</v>
      </c>
      <c r="Q141" s="3" t="s">
        <v>502</v>
      </c>
      <c r="R141" s="3" t="s">
        <v>9</v>
      </c>
      <c r="S141" s="20">
        <v>6750</v>
      </c>
      <c r="T141" s="3" t="s">
        <v>355</v>
      </c>
      <c r="U141" s="3" t="s">
        <v>502</v>
      </c>
      <c r="V141" s="3" t="s">
        <v>502</v>
      </c>
      <c r="W141" s="3" t="s">
        <v>502</v>
      </c>
    </row>
    <row r="142" spans="1:23" s="3" customFormat="1" x14ac:dyDescent="0.25">
      <c r="A142" s="3" t="s">
        <v>356</v>
      </c>
      <c r="B142" s="3" t="s">
        <v>517</v>
      </c>
      <c r="C142" s="3" t="s">
        <v>86</v>
      </c>
      <c r="D142" s="3" t="s">
        <v>148</v>
      </c>
      <c r="E142" s="3" t="s">
        <v>358</v>
      </c>
      <c r="F142" s="3" t="s">
        <v>582</v>
      </c>
      <c r="G142" s="3" t="s">
        <v>776</v>
      </c>
      <c r="H142" s="3" t="s">
        <v>16</v>
      </c>
      <c r="I142" s="3">
        <v>91</v>
      </c>
      <c r="J142" s="3" t="s">
        <v>502</v>
      </c>
      <c r="K142" s="4">
        <v>46218</v>
      </c>
      <c r="L142" s="3" t="s">
        <v>357</v>
      </c>
      <c r="M142" s="3" t="s">
        <v>777</v>
      </c>
      <c r="N142" s="3" t="s">
        <v>502</v>
      </c>
      <c r="O142" s="3" t="s">
        <v>502</v>
      </c>
      <c r="P142" s="3" t="s">
        <v>357</v>
      </c>
      <c r="Q142" s="3" t="s">
        <v>777</v>
      </c>
      <c r="R142" s="3" t="s">
        <v>9</v>
      </c>
      <c r="S142" s="20">
        <v>-300</v>
      </c>
      <c r="T142" s="3" t="s">
        <v>359</v>
      </c>
      <c r="U142" s="3" t="s">
        <v>502</v>
      </c>
      <c r="V142" s="3" t="s">
        <v>502</v>
      </c>
      <c r="W142" s="3" t="s">
        <v>502</v>
      </c>
    </row>
    <row r="143" spans="1:23" s="3" customFormat="1" x14ac:dyDescent="0.25">
      <c r="A143" s="3" t="s">
        <v>356</v>
      </c>
      <c r="B143" s="3" t="s">
        <v>517</v>
      </c>
      <c r="C143" s="3" t="s">
        <v>86</v>
      </c>
      <c r="D143" s="3" t="s">
        <v>148</v>
      </c>
      <c r="E143" s="3" t="s">
        <v>358</v>
      </c>
      <c r="F143" s="3" t="s">
        <v>584</v>
      </c>
      <c r="G143" s="3" t="s">
        <v>778</v>
      </c>
      <c r="H143" s="3" t="s">
        <v>16</v>
      </c>
      <c r="I143" s="3">
        <v>91</v>
      </c>
      <c r="J143" s="3" t="s">
        <v>502</v>
      </c>
      <c r="K143" s="4">
        <v>46218</v>
      </c>
      <c r="L143" s="3" t="s">
        <v>357</v>
      </c>
      <c r="M143" s="3" t="s">
        <v>777</v>
      </c>
      <c r="N143" s="3" t="s">
        <v>502</v>
      </c>
      <c r="O143" s="3" t="s">
        <v>502</v>
      </c>
      <c r="P143" s="3" t="s">
        <v>357</v>
      </c>
      <c r="Q143" s="3" t="s">
        <v>777</v>
      </c>
      <c r="R143" s="3" t="s">
        <v>9</v>
      </c>
      <c r="S143" s="20">
        <v>-123</v>
      </c>
      <c r="T143" s="3" t="s">
        <v>360</v>
      </c>
      <c r="U143" s="3" t="s">
        <v>502</v>
      </c>
      <c r="V143" s="3" t="s">
        <v>502</v>
      </c>
      <c r="W143" s="3" t="s">
        <v>502</v>
      </c>
    </row>
    <row r="144" spans="1:23" s="3" customFormat="1" x14ac:dyDescent="0.25">
      <c r="A144" s="3" t="s">
        <v>356</v>
      </c>
      <c r="B144" s="3" t="s">
        <v>517</v>
      </c>
      <c r="C144" s="3" t="s">
        <v>86</v>
      </c>
      <c r="D144" s="3" t="s">
        <v>148</v>
      </c>
      <c r="E144" s="3" t="s">
        <v>358</v>
      </c>
      <c r="F144" s="3" t="s">
        <v>584</v>
      </c>
      <c r="G144" s="3" t="s">
        <v>779</v>
      </c>
      <c r="H144" s="3" t="s">
        <v>16</v>
      </c>
      <c r="I144" s="3">
        <v>92</v>
      </c>
      <c r="J144" s="3" t="s">
        <v>502</v>
      </c>
      <c r="K144" s="4">
        <v>46218</v>
      </c>
      <c r="L144" s="3" t="s">
        <v>357</v>
      </c>
      <c r="M144" s="3" t="s">
        <v>777</v>
      </c>
      <c r="N144" s="3" t="s">
        <v>502</v>
      </c>
      <c r="O144" s="3" t="s">
        <v>502</v>
      </c>
      <c r="P144" s="3" t="s">
        <v>357</v>
      </c>
      <c r="Q144" s="3" t="s">
        <v>777</v>
      </c>
      <c r="R144" s="3" t="s">
        <v>9</v>
      </c>
      <c r="S144" s="20">
        <v>-177</v>
      </c>
      <c r="T144" s="3" t="s">
        <v>361</v>
      </c>
      <c r="U144" s="3" t="s">
        <v>502</v>
      </c>
      <c r="V144" s="3" t="s">
        <v>502</v>
      </c>
      <c r="W144" s="3" t="s">
        <v>502</v>
      </c>
    </row>
    <row r="145" spans="1:23" s="3" customFormat="1" x14ac:dyDescent="0.25">
      <c r="A145" s="3" t="s">
        <v>362</v>
      </c>
      <c r="B145" s="3" t="s">
        <v>519</v>
      </c>
      <c r="C145" s="3" t="s">
        <v>86</v>
      </c>
      <c r="D145" s="3" t="s">
        <v>148</v>
      </c>
      <c r="E145" s="3" t="s">
        <v>364</v>
      </c>
      <c r="F145" s="3" t="s">
        <v>582</v>
      </c>
      <c r="G145" s="3" t="s">
        <v>780</v>
      </c>
      <c r="H145" s="3" t="s">
        <v>16</v>
      </c>
      <c r="I145" s="3">
        <v>92</v>
      </c>
      <c r="J145" s="3" t="s">
        <v>502</v>
      </c>
      <c r="K145" s="4">
        <v>46218</v>
      </c>
      <c r="L145" s="3" t="s">
        <v>363</v>
      </c>
      <c r="M145" s="3" t="s">
        <v>781</v>
      </c>
      <c r="N145" s="3" t="s">
        <v>502</v>
      </c>
      <c r="O145" s="3" t="s">
        <v>502</v>
      </c>
      <c r="P145" s="3" t="s">
        <v>363</v>
      </c>
      <c r="Q145" s="3" t="s">
        <v>781</v>
      </c>
      <c r="R145" s="3" t="s">
        <v>9</v>
      </c>
      <c r="S145" s="20">
        <v>-123</v>
      </c>
      <c r="T145" s="3" t="s">
        <v>365</v>
      </c>
      <c r="U145" s="3" t="s">
        <v>502</v>
      </c>
      <c r="V145" s="3" t="s">
        <v>502</v>
      </c>
      <c r="W145" s="3" t="s">
        <v>502</v>
      </c>
    </row>
    <row r="146" spans="1:23" s="3" customFormat="1" x14ac:dyDescent="0.25">
      <c r="A146" s="3" t="s">
        <v>362</v>
      </c>
      <c r="B146" s="3" t="s">
        <v>519</v>
      </c>
      <c r="C146" s="3" t="s">
        <v>86</v>
      </c>
      <c r="D146" s="3" t="s">
        <v>148</v>
      </c>
      <c r="E146" s="3" t="s">
        <v>364</v>
      </c>
      <c r="F146" s="3" t="s">
        <v>582</v>
      </c>
      <c r="G146" s="3" t="s">
        <v>782</v>
      </c>
      <c r="H146" s="3" t="s">
        <v>16</v>
      </c>
      <c r="I146" s="3">
        <v>93</v>
      </c>
      <c r="J146" s="3" t="s">
        <v>502</v>
      </c>
      <c r="K146" s="4">
        <v>46218</v>
      </c>
      <c r="L146" s="3" t="s">
        <v>363</v>
      </c>
      <c r="M146" s="3" t="s">
        <v>781</v>
      </c>
      <c r="N146" s="3" t="s">
        <v>502</v>
      </c>
      <c r="O146" s="3" t="s">
        <v>502</v>
      </c>
      <c r="P146" s="3" t="s">
        <v>363</v>
      </c>
      <c r="Q146" s="3" t="s">
        <v>781</v>
      </c>
      <c r="R146" s="3" t="s">
        <v>9</v>
      </c>
      <c r="S146" s="20">
        <v>-177</v>
      </c>
      <c r="T146" s="3" t="s">
        <v>366</v>
      </c>
      <c r="U146" s="3" t="s">
        <v>502</v>
      </c>
      <c r="V146" s="3" t="s">
        <v>502</v>
      </c>
      <c r="W146" s="3" t="s">
        <v>502</v>
      </c>
    </row>
    <row r="147" spans="1:23" s="3" customFormat="1" x14ac:dyDescent="0.25">
      <c r="A147" s="3" t="s">
        <v>362</v>
      </c>
      <c r="B147" s="3" t="s">
        <v>519</v>
      </c>
      <c r="C147" s="3" t="s">
        <v>86</v>
      </c>
      <c r="D147" s="3" t="s">
        <v>148</v>
      </c>
      <c r="E147" s="3" t="s">
        <v>364</v>
      </c>
      <c r="F147" s="3" t="s">
        <v>584</v>
      </c>
      <c r="G147" s="3" t="s">
        <v>783</v>
      </c>
      <c r="H147" s="3" t="s">
        <v>16</v>
      </c>
      <c r="I147" s="3">
        <v>93</v>
      </c>
      <c r="J147" s="3" t="s">
        <v>502</v>
      </c>
      <c r="K147" s="4">
        <v>46218</v>
      </c>
      <c r="L147" s="3" t="s">
        <v>363</v>
      </c>
      <c r="M147" s="3" t="s">
        <v>781</v>
      </c>
      <c r="N147" s="3" t="s">
        <v>502</v>
      </c>
      <c r="O147" s="3" t="s">
        <v>502</v>
      </c>
      <c r="P147" s="3" t="s">
        <v>363</v>
      </c>
      <c r="Q147" s="3" t="s">
        <v>781</v>
      </c>
      <c r="R147" s="3" t="s">
        <v>9</v>
      </c>
      <c r="S147" s="20">
        <v>-300</v>
      </c>
      <c r="T147" s="3" t="s">
        <v>367</v>
      </c>
      <c r="U147" s="3" t="s">
        <v>502</v>
      </c>
      <c r="V147" s="3" t="s">
        <v>502</v>
      </c>
      <c r="W147" s="3" t="s">
        <v>502</v>
      </c>
    </row>
    <row r="148" spans="1:23" s="3" customFormat="1" x14ac:dyDescent="0.25">
      <c r="A148" s="3" t="s">
        <v>368</v>
      </c>
      <c r="B148" s="3" t="s">
        <v>517</v>
      </c>
      <c r="C148" s="3" t="s">
        <v>86</v>
      </c>
      <c r="D148" s="3" t="s">
        <v>130</v>
      </c>
      <c r="E148" s="3" t="s">
        <v>370</v>
      </c>
      <c r="F148" s="3" t="s">
        <v>582</v>
      </c>
      <c r="G148" s="3" t="s">
        <v>784</v>
      </c>
      <c r="H148" s="3" t="s">
        <v>16</v>
      </c>
      <c r="I148" s="3">
        <v>97</v>
      </c>
      <c r="J148" s="3" t="s">
        <v>502</v>
      </c>
      <c r="K148" s="4">
        <v>46218</v>
      </c>
      <c r="L148" s="3" t="s">
        <v>369</v>
      </c>
      <c r="M148" s="3" t="s">
        <v>369</v>
      </c>
      <c r="N148" s="3" t="s">
        <v>785</v>
      </c>
      <c r="O148" s="3" t="s">
        <v>786</v>
      </c>
      <c r="P148" s="3" t="s">
        <v>502</v>
      </c>
      <c r="Q148" s="3" t="s">
        <v>502</v>
      </c>
      <c r="R148" s="3" t="s">
        <v>9</v>
      </c>
      <c r="S148" s="20">
        <v>6750</v>
      </c>
      <c r="T148" s="3" t="s">
        <v>371</v>
      </c>
      <c r="U148" s="3" t="s">
        <v>502</v>
      </c>
      <c r="V148" s="3" t="s">
        <v>502</v>
      </c>
      <c r="W148" s="3" t="s">
        <v>502</v>
      </c>
    </row>
    <row r="149" spans="1:23" s="3" customFormat="1" x14ac:dyDescent="0.25">
      <c r="A149" s="3" t="s">
        <v>368</v>
      </c>
      <c r="B149" s="3" t="s">
        <v>517</v>
      </c>
      <c r="C149" s="3" t="s">
        <v>86</v>
      </c>
      <c r="D149" s="3" t="s">
        <v>130</v>
      </c>
      <c r="E149" s="3" t="s">
        <v>370</v>
      </c>
      <c r="F149" s="3" t="s">
        <v>584</v>
      </c>
      <c r="G149" s="3" t="s">
        <v>787</v>
      </c>
      <c r="H149" s="3" t="s">
        <v>16</v>
      </c>
      <c r="I149" s="3">
        <v>97</v>
      </c>
      <c r="J149" s="3" t="s">
        <v>502</v>
      </c>
      <c r="K149" s="4">
        <v>46218</v>
      </c>
      <c r="L149" s="3" t="s">
        <v>369</v>
      </c>
      <c r="M149" s="3" t="s">
        <v>369</v>
      </c>
      <c r="N149" s="3" t="s">
        <v>785</v>
      </c>
      <c r="O149" s="3" t="s">
        <v>786</v>
      </c>
      <c r="P149" s="3" t="s">
        <v>502</v>
      </c>
      <c r="Q149" s="3" t="s">
        <v>502</v>
      </c>
      <c r="R149" s="3" t="s">
        <v>9</v>
      </c>
      <c r="S149" s="20">
        <v>2500</v>
      </c>
      <c r="T149" s="3" t="s">
        <v>372</v>
      </c>
      <c r="U149" s="3" t="s">
        <v>502</v>
      </c>
      <c r="V149" s="3" t="s">
        <v>502</v>
      </c>
      <c r="W149" s="3" t="s">
        <v>502</v>
      </c>
    </row>
    <row r="150" spans="1:23" s="3" customFormat="1" x14ac:dyDescent="0.25">
      <c r="A150" s="3" t="s">
        <v>368</v>
      </c>
      <c r="B150" s="3" t="s">
        <v>517</v>
      </c>
      <c r="C150" s="3" t="s">
        <v>86</v>
      </c>
      <c r="D150" s="3" t="s">
        <v>130</v>
      </c>
      <c r="E150" s="3" t="s">
        <v>370</v>
      </c>
      <c r="F150" s="3" t="s">
        <v>584</v>
      </c>
      <c r="G150" s="3" t="s">
        <v>788</v>
      </c>
      <c r="H150" s="3" t="s">
        <v>16</v>
      </c>
      <c r="I150" s="3">
        <v>98</v>
      </c>
      <c r="J150" s="3" t="s">
        <v>502</v>
      </c>
      <c r="K150" s="4">
        <v>46218</v>
      </c>
      <c r="L150" s="3" t="s">
        <v>369</v>
      </c>
      <c r="M150" s="3" t="s">
        <v>369</v>
      </c>
      <c r="N150" s="3" t="s">
        <v>785</v>
      </c>
      <c r="O150" s="3" t="s">
        <v>786</v>
      </c>
      <c r="P150" s="3" t="s">
        <v>502</v>
      </c>
      <c r="Q150" s="3" t="s">
        <v>502</v>
      </c>
      <c r="R150" s="3" t="s">
        <v>9</v>
      </c>
      <c r="S150" s="20">
        <v>2250</v>
      </c>
      <c r="T150" s="3" t="s">
        <v>373</v>
      </c>
      <c r="U150" s="3" t="s">
        <v>502</v>
      </c>
      <c r="V150" s="3" t="s">
        <v>502</v>
      </c>
      <c r="W150" s="3" t="s">
        <v>502</v>
      </c>
    </row>
    <row r="151" spans="1:23" s="3" customFormat="1" x14ac:dyDescent="0.25">
      <c r="A151" s="3" t="s">
        <v>368</v>
      </c>
      <c r="B151" s="3" t="s">
        <v>517</v>
      </c>
      <c r="C151" s="3" t="s">
        <v>86</v>
      </c>
      <c r="D151" s="3" t="s">
        <v>130</v>
      </c>
      <c r="E151" s="3" t="s">
        <v>370</v>
      </c>
      <c r="F151" s="3" t="s">
        <v>584</v>
      </c>
      <c r="G151" s="3" t="s">
        <v>789</v>
      </c>
      <c r="H151" s="3" t="s">
        <v>16</v>
      </c>
      <c r="I151" s="3">
        <v>99</v>
      </c>
      <c r="J151" s="3" t="s">
        <v>502</v>
      </c>
      <c r="K151" s="4">
        <v>46218</v>
      </c>
      <c r="L151" s="3" t="s">
        <v>369</v>
      </c>
      <c r="M151" s="3" t="s">
        <v>369</v>
      </c>
      <c r="N151" s="3" t="s">
        <v>785</v>
      </c>
      <c r="O151" s="3" t="s">
        <v>786</v>
      </c>
      <c r="P151" s="3" t="s">
        <v>502</v>
      </c>
      <c r="Q151" s="3" t="s">
        <v>502</v>
      </c>
      <c r="R151" s="3" t="s">
        <v>9</v>
      </c>
      <c r="S151" s="20">
        <v>2000</v>
      </c>
      <c r="T151" s="3" t="s">
        <v>374</v>
      </c>
      <c r="U151" s="3" t="s">
        <v>502</v>
      </c>
      <c r="V151" s="3" t="s">
        <v>502</v>
      </c>
      <c r="W151" s="3" t="s">
        <v>502</v>
      </c>
    </row>
    <row r="152" spans="1:23" s="3" customFormat="1" x14ac:dyDescent="0.25">
      <c r="A152" s="3" t="s">
        <v>375</v>
      </c>
      <c r="B152" s="3" t="s">
        <v>519</v>
      </c>
      <c r="C152" s="3" t="s">
        <v>86</v>
      </c>
      <c r="D152" s="3" t="s">
        <v>130</v>
      </c>
      <c r="E152" s="3" t="s">
        <v>377</v>
      </c>
      <c r="F152" s="3" t="s">
        <v>582</v>
      </c>
      <c r="G152" s="3" t="s">
        <v>790</v>
      </c>
      <c r="H152" s="3" t="s">
        <v>16</v>
      </c>
      <c r="I152" s="3">
        <v>98</v>
      </c>
      <c r="J152" s="3" t="s">
        <v>502</v>
      </c>
      <c r="K152" s="4">
        <v>46218</v>
      </c>
      <c r="L152" s="3" t="s">
        <v>376</v>
      </c>
      <c r="M152" s="3" t="s">
        <v>376</v>
      </c>
      <c r="N152" s="3" t="s">
        <v>791</v>
      </c>
      <c r="O152" s="3" t="s">
        <v>792</v>
      </c>
      <c r="P152" s="3" t="s">
        <v>502</v>
      </c>
      <c r="Q152" s="3" t="s">
        <v>502</v>
      </c>
      <c r="R152" s="3" t="s">
        <v>9</v>
      </c>
      <c r="S152" s="20">
        <v>2500</v>
      </c>
      <c r="T152" s="3" t="s">
        <v>378</v>
      </c>
      <c r="U152" s="3" t="s">
        <v>502</v>
      </c>
      <c r="V152" s="3" t="s">
        <v>502</v>
      </c>
      <c r="W152" s="3" t="s">
        <v>502</v>
      </c>
    </row>
    <row r="153" spans="1:23" s="3" customFormat="1" x14ac:dyDescent="0.25">
      <c r="A153" s="3" t="s">
        <v>375</v>
      </c>
      <c r="B153" s="3" t="s">
        <v>519</v>
      </c>
      <c r="C153" s="3" t="s">
        <v>86</v>
      </c>
      <c r="D153" s="3" t="s">
        <v>130</v>
      </c>
      <c r="E153" s="3" t="s">
        <v>377</v>
      </c>
      <c r="F153" s="3" t="s">
        <v>582</v>
      </c>
      <c r="G153" s="3" t="s">
        <v>793</v>
      </c>
      <c r="H153" s="3" t="s">
        <v>16</v>
      </c>
      <c r="I153" s="3">
        <v>99</v>
      </c>
      <c r="J153" s="3" t="s">
        <v>502</v>
      </c>
      <c r="K153" s="4">
        <v>46218</v>
      </c>
      <c r="L153" s="3" t="s">
        <v>376</v>
      </c>
      <c r="M153" s="3" t="s">
        <v>376</v>
      </c>
      <c r="N153" s="3" t="s">
        <v>791</v>
      </c>
      <c r="O153" s="3" t="s">
        <v>792</v>
      </c>
      <c r="P153" s="3" t="s">
        <v>502</v>
      </c>
      <c r="Q153" s="3" t="s">
        <v>502</v>
      </c>
      <c r="R153" s="3" t="s">
        <v>9</v>
      </c>
      <c r="S153" s="20">
        <v>2250</v>
      </c>
      <c r="T153" s="3" t="s">
        <v>379</v>
      </c>
      <c r="U153" s="3" t="s">
        <v>502</v>
      </c>
      <c r="V153" s="3" t="s">
        <v>502</v>
      </c>
      <c r="W153" s="3" t="s">
        <v>502</v>
      </c>
    </row>
    <row r="154" spans="1:23" s="3" customFormat="1" x14ac:dyDescent="0.25">
      <c r="A154" s="3" t="s">
        <v>375</v>
      </c>
      <c r="B154" s="3" t="s">
        <v>519</v>
      </c>
      <c r="C154" s="3" t="s">
        <v>86</v>
      </c>
      <c r="D154" s="3" t="s">
        <v>130</v>
      </c>
      <c r="E154" s="3" t="s">
        <v>377</v>
      </c>
      <c r="F154" s="3" t="s">
        <v>582</v>
      </c>
      <c r="G154" s="3" t="s">
        <v>794</v>
      </c>
      <c r="H154" s="3" t="s">
        <v>16</v>
      </c>
      <c r="I154" s="3">
        <v>100</v>
      </c>
      <c r="J154" s="3" t="s">
        <v>502</v>
      </c>
      <c r="K154" s="4">
        <v>46218</v>
      </c>
      <c r="L154" s="3" t="s">
        <v>376</v>
      </c>
      <c r="M154" s="3" t="s">
        <v>376</v>
      </c>
      <c r="N154" s="3" t="s">
        <v>791</v>
      </c>
      <c r="O154" s="3" t="s">
        <v>792</v>
      </c>
      <c r="P154" s="3" t="s">
        <v>502</v>
      </c>
      <c r="Q154" s="3" t="s">
        <v>502</v>
      </c>
      <c r="R154" s="3" t="s">
        <v>9</v>
      </c>
      <c r="S154" s="20">
        <v>2000</v>
      </c>
      <c r="T154" s="3" t="s">
        <v>380</v>
      </c>
      <c r="U154" s="3" t="s">
        <v>502</v>
      </c>
      <c r="V154" s="3" t="s">
        <v>502</v>
      </c>
      <c r="W154" s="3" t="s">
        <v>502</v>
      </c>
    </row>
    <row r="155" spans="1:23" s="3" customFormat="1" x14ac:dyDescent="0.25">
      <c r="A155" s="3" t="s">
        <v>375</v>
      </c>
      <c r="B155" s="3" t="s">
        <v>519</v>
      </c>
      <c r="C155" s="3" t="s">
        <v>86</v>
      </c>
      <c r="D155" s="3" t="s">
        <v>130</v>
      </c>
      <c r="E155" s="3" t="s">
        <v>377</v>
      </c>
      <c r="F155" s="3" t="s">
        <v>584</v>
      </c>
      <c r="G155" s="3" t="s">
        <v>795</v>
      </c>
      <c r="H155" s="3" t="s">
        <v>16</v>
      </c>
      <c r="I155" s="3">
        <v>100</v>
      </c>
      <c r="J155" s="3" t="s">
        <v>502</v>
      </c>
      <c r="K155" s="4">
        <v>46218</v>
      </c>
      <c r="L155" s="3" t="s">
        <v>376</v>
      </c>
      <c r="M155" s="3" t="s">
        <v>376</v>
      </c>
      <c r="N155" s="3" t="s">
        <v>791</v>
      </c>
      <c r="O155" s="3" t="s">
        <v>792</v>
      </c>
      <c r="P155" s="3" t="s">
        <v>502</v>
      </c>
      <c r="Q155" s="3" t="s">
        <v>502</v>
      </c>
      <c r="R155" s="3" t="s">
        <v>9</v>
      </c>
      <c r="S155" s="20">
        <v>6750</v>
      </c>
      <c r="T155" s="3" t="s">
        <v>381</v>
      </c>
      <c r="U155" s="3" t="s">
        <v>502</v>
      </c>
      <c r="V155" s="3" t="s">
        <v>502</v>
      </c>
      <c r="W155" s="3" t="s">
        <v>502</v>
      </c>
    </row>
    <row r="156" spans="1:23" s="3" customFormat="1" x14ac:dyDescent="0.25">
      <c r="A156" s="3" t="s">
        <v>382</v>
      </c>
      <c r="B156" s="3" t="s">
        <v>517</v>
      </c>
      <c r="C156" s="3" t="s">
        <v>86</v>
      </c>
      <c r="D156" s="3" t="s">
        <v>148</v>
      </c>
      <c r="E156" s="3" t="s">
        <v>384</v>
      </c>
      <c r="F156" s="3" t="s">
        <v>582</v>
      </c>
      <c r="G156" s="3" t="s">
        <v>796</v>
      </c>
      <c r="H156" s="3" t="s">
        <v>16</v>
      </c>
      <c r="I156" s="3">
        <v>101</v>
      </c>
      <c r="J156" s="3" t="s">
        <v>502</v>
      </c>
      <c r="K156" s="4">
        <v>46218</v>
      </c>
      <c r="L156" s="3" t="s">
        <v>383</v>
      </c>
      <c r="M156" s="3" t="s">
        <v>797</v>
      </c>
      <c r="N156" s="3" t="s">
        <v>502</v>
      </c>
      <c r="O156" s="3" t="s">
        <v>502</v>
      </c>
      <c r="P156" s="3" t="s">
        <v>383</v>
      </c>
      <c r="Q156" s="3" t="s">
        <v>797</v>
      </c>
      <c r="R156" s="3" t="s">
        <v>9</v>
      </c>
      <c r="S156" s="20">
        <v>-300</v>
      </c>
      <c r="T156" s="3" t="s">
        <v>385</v>
      </c>
      <c r="U156" s="3" t="s">
        <v>502</v>
      </c>
      <c r="V156" s="3" t="s">
        <v>502</v>
      </c>
      <c r="W156" s="3" t="s">
        <v>502</v>
      </c>
    </row>
    <row r="157" spans="1:23" s="3" customFormat="1" x14ac:dyDescent="0.25">
      <c r="A157" s="3" t="s">
        <v>382</v>
      </c>
      <c r="B157" s="3" t="s">
        <v>517</v>
      </c>
      <c r="C157" s="3" t="s">
        <v>86</v>
      </c>
      <c r="D157" s="3" t="s">
        <v>148</v>
      </c>
      <c r="E157" s="3" t="s">
        <v>384</v>
      </c>
      <c r="F157" s="3" t="s">
        <v>584</v>
      </c>
      <c r="G157" s="3" t="s">
        <v>798</v>
      </c>
      <c r="H157" s="3" t="s">
        <v>16</v>
      </c>
      <c r="I157" s="3">
        <v>101</v>
      </c>
      <c r="J157" s="3" t="s">
        <v>502</v>
      </c>
      <c r="K157" s="4">
        <v>46218</v>
      </c>
      <c r="L157" s="3" t="s">
        <v>383</v>
      </c>
      <c r="M157" s="3" t="s">
        <v>797</v>
      </c>
      <c r="N157" s="3" t="s">
        <v>502</v>
      </c>
      <c r="O157" s="3" t="s">
        <v>502</v>
      </c>
      <c r="P157" s="3" t="s">
        <v>383</v>
      </c>
      <c r="Q157" s="3" t="s">
        <v>797</v>
      </c>
      <c r="R157" s="3" t="s">
        <v>9</v>
      </c>
      <c r="S157" s="20">
        <v>-123</v>
      </c>
      <c r="T157" s="3" t="s">
        <v>386</v>
      </c>
      <c r="U157" s="3" t="s">
        <v>502</v>
      </c>
      <c r="V157" s="3" t="s">
        <v>502</v>
      </c>
      <c r="W157" s="3" t="s">
        <v>502</v>
      </c>
    </row>
    <row r="158" spans="1:23" s="3" customFormat="1" x14ac:dyDescent="0.25">
      <c r="A158" s="3" t="s">
        <v>382</v>
      </c>
      <c r="B158" s="3" t="s">
        <v>517</v>
      </c>
      <c r="C158" s="3" t="s">
        <v>86</v>
      </c>
      <c r="D158" s="3" t="s">
        <v>148</v>
      </c>
      <c r="E158" s="3" t="s">
        <v>384</v>
      </c>
      <c r="F158" s="3" t="s">
        <v>584</v>
      </c>
      <c r="G158" s="3" t="s">
        <v>799</v>
      </c>
      <c r="H158" s="3" t="s">
        <v>16</v>
      </c>
      <c r="I158" s="3">
        <v>102</v>
      </c>
      <c r="J158" s="3" t="s">
        <v>502</v>
      </c>
      <c r="K158" s="4">
        <v>46218</v>
      </c>
      <c r="L158" s="3" t="s">
        <v>383</v>
      </c>
      <c r="M158" s="3" t="s">
        <v>797</v>
      </c>
      <c r="N158" s="3" t="s">
        <v>502</v>
      </c>
      <c r="O158" s="3" t="s">
        <v>502</v>
      </c>
      <c r="P158" s="3" t="s">
        <v>383</v>
      </c>
      <c r="Q158" s="3" t="s">
        <v>797</v>
      </c>
      <c r="R158" s="3" t="s">
        <v>9</v>
      </c>
      <c r="S158" s="20">
        <v>-177</v>
      </c>
      <c r="T158" s="3" t="s">
        <v>387</v>
      </c>
      <c r="U158" s="3" t="s">
        <v>502</v>
      </c>
      <c r="V158" s="3" t="s">
        <v>502</v>
      </c>
      <c r="W158" s="3" t="s">
        <v>502</v>
      </c>
    </row>
    <row r="159" spans="1:23" s="3" customFormat="1" x14ac:dyDescent="0.25">
      <c r="A159" s="3" t="s">
        <v>388</v>
      </c>
      <c r="B159" s="3" t="s">
        <v>519</v>
      </c>
      <c r="C159" s="3" t="s">
        <v>86</v>
      </c>
      <c r="D159" s="3" t="s">
        <v>148</v>
      </c>
      <c r="E159" s="3" t="s">
        <v>390</v>
      </c>
      <c r="F159" s="3" t="s">
        <v>582</v>
      </c>
      <c r="G159" s="3" t="s">
        <v>800</v>
      </c>
      <c r="H159" s="3" t="s">
        <v>16</v>
      </c>
      <c r="I159" s="3">
        <v>102</v>
      </c>
      <c r="J159" s="3" t="s">
        <v>502</v>
      </c>
      <c r="K159" s="4">
        <v>46218</v>
      </c>
      <c r="L159" s="3" t="s">
        <v>389</v>
      </c>
      <c r="M159" s="3" t="s">
        <v>801</v>
      </c>
      <c r="N159" s="3" t="s">
        <v>502</v>
      </c>
      <c r="O159" s="3" t="s">
        <v>502</v>
      </c>
      <c r="P159" s="3" t="s">
        <v>389</v>
      </c>
      <c r="Q159" s="3" t="s">
        <v>801</v>
      </c>
      <c r="R159" s="3" t="s">
        <v>9</v>
      </c>
      <c r="S159" s="20">
        <v>-123</v>
      </c>
      <c r="T159" s="3" t="s">
        <v>391</v>
      </c>
      <c r="U159" s="3" t="s">
        <v>502</v>
      </c>
      <c r="V159" s="3" t="s">
        <v>502</v>
      </c>
      <c r="W159" s="3" t="s">
        <v>502</v>
      </c>
    </row>
    <row r="160" spans="1:23" s="3" customFormat="1" x14ac:dyDescent="0.25">
      <c r="A160" s="3" t="s">
        <v>388</v>
      </c>
      <c r="B160" s="3" t="s">
        <v>519</v>
      </c>
      <c r="C160" s="3" t="s">
        <v>86</v>
      </c>
      <c r="D160" s="3" t="s">
        <v>148</v>
      </c>
      <c r="E160" s="3" t="s">
        <v>390</v>
      </c>
      <c r="F160" s="3" t="s">
        <v>582</v>
      </c>
      <c r="G160" s="3" t="s">
        <v>802</v>
      </c>
      <c r="H160" s="3" t="s">
        <v>16</v>
      </c>
      <c r="I160" s="3">
        <v>103</v>
      </c>
      <c r="J160" s="3" t="s">
        <v>502</v>
      </c>
      <c r="K160" s="4">
        <v>46218</v>
      </c>
      <c r="L160" s="3" t="s">
        <v>389</v>
      </c>
      <c r="M160" s="3" t="s">
        <v>801</v>
      </c>
      <c r="N160" s="3" t="s">
        <v>502</v>
      </c>
      <c r="O160" s="3" t="s">
        <v>502</v>
      </c>
      <c r="P160" s="3" t="s">
        <v>389</v>
      </c>
      <c r="Q160" s="3" t="s">
        <v>801</v>
      </c>
      <c r="R160" s="3" t="s">
        <v>9</v>
      </c>
      <c r="S160" s="20">
        <v>-177</v>
      </c>
      <c r="T160" s="3" t="s">
        <v>392</v>
      </c>
      <c r="U160" s="3" t="s">
        <v>502</v>
      </c>
      <c r="V160" s="3" t="s">
        <v>502</v>
      </c>
      <c r="W160" s="3" t="s">
        <v>502</v>
      </c>
    </row>
    <row r="161" spans="1:23" s="3" customFormat="1" x14ac:dyDescent="0.25">
      <c r="A161" s="3" t="s">
        <v>388</v>
      </c>
      <c r="B161" s="3" t="s">
        <v>519</v>
      </c>
      <c r="C161" s="3" t="s">
        <v>86</v>
      </c>
      <c r="D161" s="3" t="s">
        <v>148</v>
      </c>
      <c r="E161" s="3" t="s">
        <v>390</v>
      </c>
      <c r="F161" s="3" t="s">
        <v>584</v>
      </c>
      <c r="G161" s="3" t="s">
        <v>803</v>
      </c>
      <c r="H161" s="3" t="s">
        <v>16</v>
      </c>
      <c r="I161" s="3">
        <v>103</v>
      </c>
      <c r="J161" s="3" t="s">
        <v>502</v>
      </c>
      <c r="K161" s="4">
        <v>46218</v>
      </c>
      <c r="L161" s="3" t="s">
        <v>389</v>
      </c>
      <c r="M161" s="3" t="s">
        <v>801</v>
      </c>
      <c r="N161" s="3" t="s">
        <v>502</v>
      </c>
      <c r="O161" s="3" t="s">
        <v>502</v>
      </c>
      <c r="P161" s="3" t="s">
        <v>389</v>
      </c>
      <c r="Q161" s="3" t="s">
        <v>801</v>
      </c>
      <c r="R161" s="3" t="s">
        <v>9</v>
      </c>
      <c r="S161" s="20">
        <v>-300</v>
      </c>
      <c r="T161" s="3" t="s">
        <v>393</v>
      </c>
      <c r="U161" s="3" t="s">
        <v>502</v>
      </c>
      <c r="V161" s="3" t="s">
        <v>502</v>
      </c>
      <c r="W161" s="3" t="s">
        <v>502</v>
      </c>
    </row>
    <row r="162" spans="1:23" s="3" customFormat="1" x14ac:dyDescent="0.25">
      <c r="A162" s="3" t="s">
        <v>404</v>
      </c>
      <c r="B162" s="3" t="s">
        <v>405</v>
      </c>
      <c r="C162" s="3" t="s">
        <v>411</v>
      </c>
      <c r="D162" s="3" t="s">
        <v>804</v>
      </c>
      <c r="E162" s="3" t="s">
        <v>407</v>
      </c>
      <c r="F162" s="3" t="s">
        <v>582</v>
      </c>
      <c r="G162" s="3" t="s">
        <v>805</v>
      </c>
      <c r="H162" s="3" t="s">
        <v>16</v>
      </c>
      <c r="I162" s="3">
        <v>14</v>
      </c>
      <c r="J162" s="3" t="s">
        <v>502</v>
      </c>
      <c r="K162" s="4">
        <v>46218</v>
      </c>
      <c r="L162" s="3" t="s">
        <v>806</v>
      </c>
      <c r="M162" s="3" t="s">
        <v>806</v>
      </c>
      <c r="N162" s="3" t="s">
        <v>502</v>
      </c>
      <c r="O162" s="3" t="s">
        <v>502</v>
      </c>
      <c r="P162" s="3" t="s">
        <v>502</v>
      </c>
      <c r="Q162" s="3" t="s">
        <v>502</v>
      </c>
      <c r="R162" s="3" t="s">
        <v>9</v>
      </c>
      <c r="S162" s="20">
        <v>81</v>
      </c>
      <c r="T162" s="3" t="s">
        <v>412</v>
      </c>
      <c r="U162" s="3" t="s">
        <v>502</v>
      </c>
      <c r="V162" s="3" t="s">
        <v>502</v>
      </c>
      <c r="W162" s="3" t="s">
        <v>502</v>
      </c>
    </row>
    <row r="163" spans="1:23" s="3" customFormat="1" x14ac:dyDescent="0.25">
      <c r="A163" s="3" t="s">
        <v>404</v>
      </c>
      <c r="B163" s="3" t="s">
        <v>405</v>
      </c>
      <c r="C163" s="3" t="s">
        <v>411</v>
      </c>
      <c r="D163" s="3" t="s">
        <v>804</v>
      </c>
      <c r="E163" s="3" t="s">
        <v>407</v>
      </c>
      <c r="F163" s="3" t="s">
        <v>582</v>
      </c>
      <c r="G163" s="3" t="s">
        <v>807</v>
      </c>
      <c r="H163" s="3" t="s">
        <v>16</v>
      </c>
      <c r="I163" s="3">
        <v>15</v>
      </c>
      <c r="J163" s="3" t="s">
        <v>502</v>
      </c>
      <c r="K163" s="4">
        <v>46218</v>
      </c>
      <c r="L163" s="3" t="s">
        <v>806</v>
      </c>
      <c r="M163" s="3" t="s">
        <v>806</v>
      </c>
      <c r="N163" s="3" t="s">
        <v>502</v>
      </c>
      <c r="O163" s="3" t="s">
        <v>502</v>
      </c>
      <c r="P163" s="3" t="s">
        <v>502</v>
      </c>
      <c r="Q163" s="3" t="s">
        <v>502</v>
      </c>
      <c r="R163" s="3" t="s">
        <v>9</v>
      </c>
      <c r="S163" s="20">
        <v>81</v>
      </c>
      <c r="T163" s="3" t="s">
        <v>413</v>
      </c>
      <c r="U163" s="3" t="s">
        <v>502</v>
      </c>
      <c r="V163" s="3" t="s">
        <v>502</v>
      </c>
      <c r="W163" s="3" t="s">
        <v>502</v>
      </c>
    </row>
    <row r="164" spans="1:23" s="3" customFormat="1" x14ac:dyDescent="0.25">
      <c r="A164" s="3" t="s">
        <v>404</v>
      </c>
      <c r="B164" s="3" t="s">
        <v>405</v>
      </c>
      <c r="C164" s="3" t="s">
        <v>411</v>
      </c>
      <c r="D164" s="3" t="s">
        <v>804</v>
      </c>
      <c r="E164" s="3" t="s">
        <v>407</v>
      </c>
      <c r="F164" s="3" t="s">
        <v>584</v>
      </c>
      <c r="G164" s="3" t="s">
        <v>808</v>
      </c>
      <c r="H164" s="3" t="s">
        <v>16</v>
      </c>
      <c r="I164" s="3">
        <v>14</v>
      </c>
      <c r="J164" s="3" t="s">
        <v>502</v>
      </c>
      <c r="K164" s="4">
        <v>46218</v>
      </c>
      <c r="L164" s="3" t="s">
        <v>806</v>
      </c>
      <c r="M164" s="3" t="s">
        <v>806</v>
      </c>
      <c r="N164" s="3" t="s">
        <v>502</v>
      </c>
      <c r="O164" s="3" t="s">
        <v>502</v>
      </c>
      <c r="P164" s="3" t="s">
        <v>502</v>
      </c>
      <c r="Q164" s="3" t="s">
        <v>502</v>
      </c>
      <c r="R164" s="3" t="s">
        <v>9</v>
      </c>
      <c r="S164" s="20">
        <v>81</v>
      </c>
      <c r="T164" s="3" t="s">
        <v>414</v>
      </c>
      <c r="U164" s="3" t="s">
        <v>502</v>
      </c>
      <c r="V164" s="3" t="s">
        <v>502</v>
      </c>
      <c r="W164" s="3" t="s">
        <v>502</v>
      </c>
    </row>
    <row r="165" spans="1:23" s="3" customFormat="1" x14ac:dyDescent="0.25">
      <c r="A165" s="3" t="s">
        <v>404</v>
      </c>
      <c r="B165" s="3" t="s">
        <v>405</v>
      </c>
      <c r="C165" s="3" t="s">
        <v>411</v>
      </c>
      <c r="D165" s="3" t="s">
        <v>804</v>
      </c>
      <c r="E165" s="3" t="s">
        <v>407</v>
      </c>
      <c r="F165" s="3" t="s">
        <v>584</v>
      </c>
      <c r="G165" s="3" t="s">
        <v>809</v>
      </c>
      <c r="H165" s="3" t="s">
        <v>16</v>
      </c>
      <c r="I165" s="3">
        <v>15</v>
      </c>
      <c r="J165" s="3" t="s">
        <v>502</v>
      </c>
      <c r="K165" s="4">
        <v>46218</v>
      </c>
      <c r="L165" s="3" t="s">
        <v>806</v>
      </c>
      <c r="M165" s="3" t="s">
        <v>806</v>
      </c>
      <c r="N165" s="3" t="s">
        <v>502</v>
      </c>
      <c r="O165" s="3" t="s">
        <v>502</v>
      </c>
      <c r="P165" s="3" t="s">
        <v>502</v>
      </c>
      <c r="Q165" s="3" t="s">
        <v>502</v>
      </c>
      <c r="R165" s="3" t="s">
        <v>9</v>
      </c>
      <c r="S165" s="20">
        <v>81</v>
      </c>
      <c r="T165" s="3" t="s">
        <v>415</v>
      </c>
      <c r="U165" s="3" t="s">
        <v>502</v>
      </c>
      <c r="V165" s="3" t="s">
        <v>502</v>
      </c>
      <c r="W165" s="3" t="s">
        <v>502</v>
      </c>
    </row>
    <row r="166" spans="1:23" s="3" customFormat="1" x14ac:dyDescent="0.25">
      <c r="A166" s="3" t="s">
        <v>416</v>
      </c>
      <c r="B166" s="3" t="s">
        <v>405</v>
      </c>
      <c r="C166" s="3" t="s">
        <v>411</v>
      </c>
      <c r="D166" s="3" t="s">
        <v>804</v>
      </c>
      <c r="E166" s="3" t="s">
        <v>407</v>
      </c>
      <c r="F166" s="3" t="s">
        <v>582</v>
      </c>
      <c r="G166" s="3" t="s">
        <v>810</v>
      </c>
      <c r="H166" s="3" t="s">
        <v>16</v>
      </c>
      <c r="I166" s="3">
        <v>24</v>
      </c>
      <c r="J166" s="3" t="s">
        <v>502</v>
      </c>
      <c r="K166" s="4">
        <v>46218</v>
      </c>
      <c r="L166" s="3" t="s">
        <v>811</v>
      </c>
      <c r="M166" s="3" t="s">
        <v>811</v>
      </c>
      <c r="N166" s="3" t="s">
        <v>502</v>
      </c>
      <c r="O166" s="3" t="s">
        <v>502</v>
      </c>
      <c r="P166" s="3" t="s">
        <v>502</v>
      </c>
      <c r="Q166" s="3" t="s">
        <v>502</v>
      </c>
      <c r="R166" s="3" t="s">
        <v>9</v>
      </c>
      <c r="S166" s="20">
        <v>81</v>
      </c>
      <c r="T166" s="3" t="s">
        <v>418</v>
      </c>
      <c r="U166" s="3" t="s">
        <v>502</v>
      </c>
      <c r="V166" s="3" t="s">
        <v>502</v>
      </c>
      <c r="W166" s="3" t="s">
        <v>502</v>
      </c>
    </row>
    <row r="167" spans="1:23" s="3" customFormat="1" x14ac:dyDescent="0.25">
      <c r="A167" s="3" t="s">
        <v>416</v>
      </c>
      <c r="B167" s="3" t="s">
        <v>405</v>
      </c>
      <c r="C167" s="3" t="s">
        <v>411</v>
      </c>
      <c r="D167" s="3" t="s">
        <v>804</v>
      </c>
      <c r="E167" s="3" t="s">
        <v>407</v>
      </c>
      <c r="F167" s="3" t="s">
        <v>582</v>
      </c>
      <c r="G167" s="3" t="s">
        <v>812</v>
      </c>
      <c r="H167" s="3" t="s">
        <v>16</v>
      </c>
      <c r="I167" s="3">
        <v>25</v>
      </c>
      <c r="J167" s="3" t="s">
        <v>502</v>
      </c>
      <c r="K167" s="4">
        <v>46218</v>
      </c>
      <c r="L167" s="3" t="s">
        <v>811</v>
      </c>
      <c r="M167" s="3" t="s">
        <v>811</v>
      </c>
      <c r="N167" s="3" t="s">
        <v>502</v>
      </c>
      <c r="O167" s="3" t="s">
        <v>502</v>
      </c>
      <c r="P167" s="3" t="s">
        <v>502</v>
      </c>
      <c r="Q167" s="3" t="s">
        <v>502</v>
      </c>
      <c r="R167" s="3" t="s">
        <v>9</v>
      </c>
      <c r="S167" s="20">
        <v>81</v>
      </c>
      <c r="T167" s="3" t="s">
        <v>419</v>
      </c>
      <c r="U167" s="3" t="s">
        <v>502</v>
      </c>
      <c r="V167" s="3" t="s">
        <v>502</v>
      </c>
      <c r="W167" s="3" t="s">
        <v>502</v>
      </c>
    </row>
    <row r="168" spans="1:23" s="3" customFormat="1" x14ac:dyDescent="0.25">
      <c r="A168" s="3" t="s">
        <v>416</v>
      </c>
      <c r="B168" s="3" t="s">
        <v>405</v>
      </c>
      <c r="C168" s="3" t="s">
        <v>411</v>
      </c>
      <c r="D168" s="3" t="s">
        <v>804</v>
      </c>
      <c r="E168" s="3" t="s">
        <v>407</v>
      </c>
      <c r="F168" s="3" t="s">
        <v>584</v>
      </c>
      <c r="G168" s="3" t="s">
        <v>813</v>
      </c>
      <c r="H168" s="3" t="s">
        <v>16</v>
      </c>
      <c r="I168" s="3">
        <v>24</v>
      </c>
      <c r="J168" s="3" t="s">
        <v>502</v>
      </c>
      <c r="K168" s="4">
        <v>46218</v>
      </c>
      <c r="L168" s="3" t="s">
        <v>811</v>
      </c>
      <c r="M168" s="3" t="s">
        <v>811</v>
      </c>
      <c r="N168" s="3" t="s">
        <v>502</v>
      </c>
      <c r="O168" s="3" t="s">
        <v>502</v>
      </c>
      <c r="P168" s="3" t="s">
        <v>502</v>
      </c>
      <c r="Q168" s="3" t="s">
        <v>502</v>
      </c>
      <c r="R168" s="3" t="s">
        <v>9</v>
      </c>
      <c r="S168" s="20">
        <v>81</v>
      </c>
      <c r="T168" s="3" t="s">
        <v>420</v>
      </c>
      <c r="U168" s="3" t="s">
        <v>502</v>
      </c>
      <c r="V168" s="3" t="s">
        <v>502</v>
      </c>
      <c r="W168" s="3" t="s">
        <v>502</v>
      </c>
    </row>
    <row r="169" spans="1:23" s="3" customFormat="1" x14ac:dyDescent="0.25">
      <c r="A169" s="3" t="s">
        <v>416</v>
      </c>
      <c r="B169" s="3" t="s">
        <v>405</v>
      </c>
      <c r="C169" s="3" t="s">
        <v>411</v>
      </c>
      <c r="D169" s="3" t="s">
        <v>804</v>
      </c>
      <c r="E169" s="3" t="s">
        <v>407</v>
      </c>
      <c r="F169" s="3" t="s">
        <v>584</v>
      </c>
      <c r="G169" s="3" t="s">
        <v>814</v>
      </c>
      <c r="H169" s="3" t="s">
        <v>16</v>
      </c>
      <c r="I169" s="3">
        <v>25</v>
      </c>
      <c r="J169" s="3" t="s">
        <v>502</v>
      </c>
      <c r="K169" s="4">
        <v>46218</v>
      </c>
      <c r="L169" s="3" t="s">
        <v>811</v>
      </c>
      <c r="M169" s="3" t="s">
        <v>811</v>
      </c>
      <c r="N169" s="3" t="s">
        <v>502</v>
      </c>
      <c r="O169" s="3" t="s">
        <v>502</v>
      </c>
      <c r="P169" s="3" t="s">
        <v>502</v>
      </c>
      <c r="Q169" s="3" t="s">
        <v>502</v>
      </c>
      <c r="R169" s="3" t="s">
        <v>9</v>
      </c>
      <c r="S169" s="20">
        <v>81</v>
      </c>
      <c r="T169" s="3" t="s">
        <v>421</v>
      </c>
      <c r="U169" s="3" t="s">
        <v>502</v>
      </c>
      <c r="V169" s="3" t="s">
        <v>502</v>
      </c>
      <c r="W169" s="3" t="s">
        <v>502</v>
      </c>
    </row>
    <row r="170" spans="1:23" s="3" customFormat="1" x14ac:dyDescent="0.25">
      <c r="A170" s="3" t="s">
        <v>422</v>
      </c>
      <c r="B170" s="3" t="s">
        <v>405</v>
      </c>
      <c r="C170" s="3" t="s">
        <v>411</v>
      </c>
      <c r="D170" s="3" t="s">
        <v>804</v>
      </c>
      <c r="E170" s="3" t="s">
        <v>407</v>
      </c>
      <c r="F170" s="3" t="s">
        <v>582</v>
      </c>
      <c r="G170" s="3" t="s">
        <v>815</v>
      </c>
      <c r="H170" s="3" t="s">
        <v>16</v>
      </c>
      <c r="I170" s="3">
        <v>34</v>
      </c>
      <c r="J170" s="3" t="s">
        <v>502</v>
      </c>
      <c r="K170" s="4">
        <v>46218</v>
      </c>
      <c r="L170" s="3" t="s">
        <v>816</v>
      </c>
      <c r="M170" s="3" t="s">
        <v>816</v>
      </c>
      <c r="N170" s="3" t="s">
        <v>502</v>
      </c>
      <c r="O170" s="3" t="s">
        <v>502</v>
      </c>
      <c r="P170" s="3" t="s">
        <v>502</v>
      </c>
      <c r="Q170" s="3" t="s">
        <v>502</v>
      </c>
      <c r="R170" s="3" t="s">
        <v>9</v>
      </c>
      <c r="S170" s="20">
        <v>81</v>
      </c>
      <c r="T170" s="3" t="s">
        <v>424</v>
      </c>
      <c r="U170" s="3" t="s">
        <v>502</v>
      </c>
      <c r="V170" s="3" t="s">
        <v>502</v>
      </c>
      <c r="W170" s="3" t="s">
        <v>502</v>
      </c>
    </row>
    <row r="171" spans="1:23" s="3" customFormat="1" x14ac:dyDescent="0.25">
      <c r="A171" s="3" t="s">
        <v>422</v>
      </c>
      <c r="B171" s="3" t="s">
        <v>405</v>
      </c>
      <c r="C171" s="3" t="s">
        <v>411</v>
      </c>
      <c r="D171" s="3" t="s">
        <v>804</v>
      </c>
      <c r="E171" s="3" t="s">
        <v>407</v>
      </c>
      <c r="F171" s="3" t="s">
        <v>582</v>
      </c>
      <c r="G171" s="3" t="s">
        <v>817</v>
      </c>
      <c r="H171" s="3" t="s">
        <v>16</v>
      </c>
      <c r="I171" s="3">
        <v>35</v>
      </c>
      <c r="J171" s="3" t="s">
        <v>502</v>
      </c>
      <c r="K171" s="4">
        <v>46218</v>
      </c>
      <c r="L171" s="3" t="s">
        <v>816</v>
      </c>
      <c r="M171" s="3" t="s">
        <v>816</v>
      </c>
      <c r="N171" s="3" t="s">
        <v>502</v>
      </c>
      <c r="O171" s="3" t="s">
        <v>502</v>
      </c>
      <c r="P171" s="3" t="s">
        <v>502</v>
      </c>
      <c r="Q171" s="3" t="s">
        <v>502</v>
      </c>
      <c r="R171" s="3" t="s">
        <v>9</v>
      </c>
      <c r="S171" s="20">
        <v>81</v>
      </c>
      <c r="T171" s="3" t="s">
        <v>425</v>
      </c>
      <c r="U171" s="3" t="s">
        <v>502</v>
      </c>
      <c r="V171" s="3" t="s">
        <v>502</v>
      </c>
      <c r="W171" s="3" t="s">
        <v>502</v>
      </c>
    </row>
    <row r="172" spans="1:23" s="3" customFormat="1" x14ac:dyDescent="0.25">
      <c r="A172" s="3" t="s">
        <v>422</v>
      </c>
      <c r="B172" s="3" t="s">
        <v>405</v>
      </c>
      <c r="C172" s="3" t="s">
        <v>411</v>
      </c>
      <c r="D172" s="3" t="s">
        <v>804</v>
      </c>
      <c r="E172" s="3" t="s">
        <v>407</v>
      </c>
      <c r="F172" s="3" t="s">
        <v>584</v>
      </c>
      <c r="G172" s="3" t="s">
        <v>818</v>
      </c>
      <c r="H172" s="3" t="s">
        <v>16</v>
      </c>
      <c r="I172" s="3">
        <v>34</v>
      </c>
      <c r="J172" s="3" t="s">
        <v>502</v>
      </c>
      <c r="K172" s="4">
        <v>46218</v>
      </c>
      <c r="L172" s="3" t="s">
        <v>816</v>
      </c>
      <c r="M172" s="3" t="s">
        <v>816</v>
      </c>
      <c r="N172" s="3" t="s">
        <v>502</v>
      </c>
      <c r="O172" s="3" t="s">
        <v>502</v>
      </c>
      <c r="P172" s="3" t="s">
        <v>502</v>
      </c>
      <c r="Q172" s="3" t="s">
        <v>502</v>
      </c>
      <c r="R172" s="3" t="s">
        <v>9</v>
      </c>
      <c r="S172" s="20">
        <v>81</v>
      </c>
      <c r="T172" s="3" t="s">
        <v>426</v>
      </c>
      <c r="U172" s="3" t="s">
        <v>502</v>
      </c>
      <c r="V172" s="3" t="s">
        <v>502</v>
      </c>
      <c r="W172" s="3" t="s">
        <v>502</v>
      </c>
    </row>
    <row r="173" spans="1:23" s="3" customFormat="1" x14ac:dyDescent="0.25">
      <c r="A173" s="3" t="s">
        <v>422</v>
      </c>
      <c r="B173" s="3" t="s">
        <v>405</v>
      </c>
      <c r="C173" s="3" t="s">
        <v>411</v>
      </c>
      <c r="D173" s="3" t="s">
        <v>804</v>
      </c>
      <c r="E173" s="3" t="s">
        <v>407</v>
      </c>
      <c r="F173" s="3" t="s">
        <v>584</v>
      </c>
      <c r="G173" s="3" t="s">
        <v>819</v>
      </c>
      <c r="H173" s="3" t="s">
        <v>16</v>
      </c>
      <c r="I173" s="3">
        <v>35</v>
      </c>
      <c r="J173" s="3" t="s">
        <v>502</v>
      </c>
      <c r="K173" s="4">
        <v>46218</v>
      </c>
      <c r="L173" s="3" t="s">
        <v>816</v>
      </c>
      <c r="M173" s="3" t="s">
        <v>816</v>
      </c>
      <c r="N173" s="3" t="s">
        <v>502</v>
      </c>
      <c r="O173" s="3" t="s">
        <v>502</v>
      </c>
      <c r="P173" s="3" t="s">
        <v>502</v>
      </c>
      <c r="Q173" s="3" t="s">
        <v>502</v>
      </c>
      <c r="R173" s="3" t="s">
        <v>9</v>
      </c>
      <c r="S173" s="20">
        <v>81</v>
      </c>
      <c r="T173" s="3" t="s">
        <v>427</v>
      </c>
      <c r="U173" s="3" t="s">
        <v>502</v>
      </c>
      <c r="V173" s="3" t="s">
        <v>502</v>
      </c>
      <c r="W173" s="3" t="s">
        <v>502</v>
      </c>
    </row>
    <row r="174" spans="1:23" s="3" customFormat="1" x14ac:dyDescent="0.25">
      <c r="A174" s="3" t="s">
        <v>428</v>
      </c>
      <c r="B174" s="3" t="s">
        <v>405</v>
      </c>
      <c r="C174" s="3" t="s">
        <v>411</v>
      </c>
      <c r="D174" s="3" t="s">
        <v>804</v>
      </c>
      <c r="E174" s="3" t="s">
        <v>407</v>
      </c>
      <c r="F174" s="3" t="s">
        <v>582</v>
      </c>
      <c r="G174" s="3" t="s">
        <v>820</v>
      </c>
      <c r="H174" s="3" t="s">
        <v>16</v>
      </c>
      <c r="I174" s="3">
        <v>44</v>
      </c>
      <c r="J174" s="3" t="s">
        <v>502</v>
      </c>
      <c r="K174" s="4">
        <v>46218</v>
      </c>
      <c r="L174" s="3" t="s">
        <v>821</v>
      </c>
      <c r="M174" s="3" t="s">
        <v>821</v>
      </c>
      <c r="N174" s="3" t="s">
        <v>502</v>
      </c>
      <c r="O174" s="3" t="s">
        <v>502</v>
      </c>
      <c r="P174" s="3" t="s">
        <v>502</v>
      </c>
      <c r="Q174" s="3" t="s">
        <v>502</v>
      </c>
      <c r="R174" s="3" t="s">
        <v>9</v>
      </c>
      <c r="S174" s="20">
        <v>81</v>
      </c>
      <c r="T174" s="3" t="s">
        <v>430</v>
      </c>
      <c r="U174" s="3" t="s">
        <v>502</v>
      </c>
      <c r="V174" s="3" t="s">
        <v>502</v>
      </c>
      <c r="W174" s="3" t="s">
        <v>502</v>
      </c>
    </row>
    <row r="175" spans="1:23" s="3" customFormat="1" x14ac:dyDescent="0.25">
      <c r="A175" s="3" t="s">
        <v>428</v>
      </c>
      <c r="B175" s="3" t="s">
        <v>405</v>
      </c>
      <c r="C175" s="3" t="s">
        <v>411</v>
      </c>
      <c r="D175" s="3" t="s">
        <v>804</v>
      </c>
      <c r="E175" s="3" t="s">
        <v>407</v>
      </c>
      <c r="F175" s="3" t="s">
        <v>582</v>
      </c>
      <c r="G175" s="3" t="s">
        <v>822</v>
      </c>
      <c r="H175" s="3" t="s">
        <v>16</v>
      </c>
      <c r="I175" s="3">
        <v>45</v>
      </c>
      <c r="J175" s="3" t="s">
        <v>502</v>
      </c>
      <c r="K175" s="4">
        <v>46218</v>
      </c>
      <c r="L175" s="3" t="s">
        <v>821</v>
      </c>
      <c r="M175" s="3" t="s">
        <v>821</v>
      </c>
      <c r="N175" s="3" t="s">
        <v>502</v>
      </c>
      <c r="O175" s="3" t="s">
        <v>502</v>
      </c>
      <c r="P175" s="3" t="s">
        <v>502</v>
      </c>
      <c r="Q175" s="3" t="s">
        <v>502</v>
      </c>
      <c r="R175" s="3" t="s">
        <v>9</v>
      </c>
      <c r="S175" s="20">
        <v>81</v>
      </c>
      <c r="T175" s="3" t="s">
        <v>431</v>
      </c>
      <c r="U175" s="3" t="s">
        <v>502</v>
      </c>
      <c r="V175" s="3" t="s">
        <v>502</v>
      </c>
      <c r="W175" s="3" t="s">
        <v>502</v>
      </c>
    </row>
    <row r="176" spans="1:23" s="3" customFormat="1" x14ac:dyDescent="0.25">
      <c r="A176" s="3" t="s">
        <v>428</v>
      </c>
      <c r="B176" s="3" t="s">
        <v>405</v>
      </c>
      <c r="C176" s="3" t="s">
        <v>411</v>
      </c>
      <c r="D176" s="3" t="s">
        <v>804</v>
      </c>
      <c r="E176" s="3" t="s">
        <v>407</v>
      </c>
      <c r="F176" s="3" t="s">
        <v>584</v>
      </c>
      <c r="G176" s="3" t="s">
        <v>823</v>
      </c>
      <c r="H176" s="3" t="s">
        <v>16</v>
      </c>
      <c r="I176" s="3">
        <v>44</v>
      </c>
      <c r="J176" s="3" t="s">
        <v>502</v>
      </c>
      <c r="K176" s="4">
        <v>46218</v>
      </c>
      <c r="L176" s="3" t="s">
        <v>821</v>
      </c>
      <c r="M176" s="3" t="s">
        <v>821</v>
      </c>
      <c r="N176" s="3" t="s">
        <v>502</v>
      </c>
      <c r="O176" s="3" t="s">
        <v>502</v>
      </c>
      <c r="P176" s="3" t="s">
        <v>502</v>
      </c>
      <c r="Q176" s="3" t="s">
        <v>502</v>
      </c>
      <c r="R176" s="3" t="s">
        <v>9</v>
      </c>
      <c r="S176" s="20">
        <v>81</v>
      </c>
      <c r="T176" s="3" t="s">
        <v>432</v>
      </c>
      <c r="U176" s="3" t="s">
        <v>502</v>
      </c>
      <c r="V176" s="3" t="s">
        <v>502</v>
      </c>
      <c r="W176" s="3" t="s">
        <v>502</v>
      </c>
    </row>
    <row r="177" spans="1:23" s="3" customFormat="1" x14ac:dyDescent="0.25">
      <c r="A177" s="3" t="s">
        <v>428</v>
      </c>
      <c r="B177" s="3" t="s">
        <v>405</v>
      </c>
      <c r="C177" s="3" t="s">
        <v>411</v>
      </c>
      <c r="D177" s="3" t="s">
        <v>804</v>
      </c>
      <c r="E177" s="3" t="s">
        <v>407</v>
      </c>
      <c r="F177" s="3" t="s">
        <v>584</v>
      </c>
      <c r="G177" s="3" t="s">
        <v>824</v>
      </c>
      <c r="H177" s="3" t="s">
        <v>16</v>
      </c>
      <c r="I177" s="3">
        <v>45</v>
      </c>
      <c r="J177" s="3" t="s">
        <v>502</v>
      </c>
      <c r="K177" s="4">
        <v>46218</v>
      </c>
      <c r="L177" s="3" t="s">
        <v>821</v>
      </c>
      <c r="M177" s="3" t="s">
        <v>821</v>
      </c>
      <c r="N177" s="3" t="s">
        <v>502</v>
      </c>
      <c r="O177" s="3" t="s">
        <v>502</v>
      </c>
      <c r="P177" s="3" t="s">
        <v>502</v>
      </c>
      <c r="Q177" s="3" t="s">
        <v>502</v>
      </c>
      <c r="R177" s="3" t="s">
        <v>9</v>
      </c>
      <c r="S177" s="20">
        <v>81</v>
      </c>
      <c r="T177" s="3" t="s">
        <v>433</v>
      </c>
      <c r="U177" s="3" t="s">
        <v>502</v>
      </c>
      <c r="V177" s="3" t="s">
        <v>502</v>
      </c>
      <c r="W177" s="3" t="s">
        <v>502</v>
      </c>
    </row>
    <row r="178" spans="1:23" s="3" customFormat="1" x14ac:dyDescent="0.25">
      <c r="A178" s="3" t="s">
        <v>434</v>
      </c>
      <c r="B178" s="3" t="s">
        <v>405</v>
      </c>
      <c r="C178" s="3" t="s">
        <v>411</v>
      </c>
      <c r="D178" s="3" t="s">
        <v>804</v>
      </c>
      <c r="E178" s="3" t="s">
        <v>407</v>
      </c>
      <c r="F178" s="3" t="s">
        <v>582</v>
      </c>
      <c r="G178" s="3" t="s">
        <v>825</v>
      </c>
      <c r="H178" s="3" t="s">
        <v>16</v>
      </c>
      <c r="I178" s="3">
        <v>54</v>
      </c>
      <c r="J178" s="3" t="s">
        <v>502</v>
      </c>
      <c r="K178" s="4">
        <v>46218</v>
      </c>
      <c r="L178" s="3" t="s">
        <v>826</v>
      </c>
      <c r="M178" s="3" t="s">
        <v>826</v>
      </c>
      <c r="N178" s="3" t="s">
        <v>502</v>
      </c>
      <c r="O178" s="3" t="s">
        <v>502</v>
      </c>
      <c r="P178" s="3" t="s">
        <v>502</v>
      </c>
      <c r="Q178" s="3" t="s">
        <v>502</v>
      </c>
      <c r="R178" s="3" t="s">
        <v>9</v>
      </c>
      <c r="S178" s="20">
        <v>81</v>
      </c>
      <c r="T178" s="3" t="s">
        <v>436</v>
      </c>
      <c r="U178" s="3" t="s">
        <v>502</v>
      </c>
      <c r="V178" s="3" t="s">
        <v>502</v>
      </c>
      <c r="W178" s="3" t="s">
        <v>502</v>
      </c>
    </row>
    <row r="179" spans="1:23" s="3" customFormat="1" x14ac:dyDescent="0.25">
      <c r="A179" s="3" t="s">
        <v>434</v>
      </c>
      <c r="B179" s="3" t="s">
        <v>405</v>
      </c>
      <c r="C179" s="3" t="s">
        <v>411</v>
      </c>
      <c r="D179" s="3" t="s">
        <v>804</v>
      </c>
      <c r="E179" s="3" t="s">
        <v>407</v>
      </c>
      <c r="F179" s="3" t="s">
        <v>582</v>
      </c>
      <c r="G179" s="3" t="s">
        <v>827</v>
      </c>
      <c r="H179" s="3" t="s">
        <v>16</v>
      </c>
      <c r="I179" s="3">
        <v>55</v>
      </c>
      <c r="J179" s="3" t="s">
        <v>502</v>
      </c>
      <c r="K179" s="4">
        <v>46218</v>
      </c>
      <c r="L179" s="3" t="s">
        <v>826</v>
      </c>
      <c r="M179" s="3" t="s">
        <v>826</v>
      </c>
      <c r="N179" s="3" t="s">
        <v>502</v>
      </c>
      <c r="O179" s="3" t="s">
        <v>502</v>
      </c>
      <c r="P179" s="3" t="s">
        <v>502</v>
      </c>
      <c r="Q179" s="3" t="s">
        <v>502</v>
      </c>
      <c r="R179" s="3" t="s">
        <v>9</v>
      </c>
      <c r="S179" s="20">
        <v>81</v>
      </c>
      <c r="T179" s="3" t="s">
        <v>437</v>
      </c>
      <c r="U179" s="3" t="s">
        <v>502</v>
      </c>
      <c r="V179" s="3" t="s">
        <v>502</v>
      </c>
      <c r="W179" s="3" t="s">
        <v>502</v>
      </c>
    </row>
    <row r="180" spans="1:23" s="3" customFormat="1" x14ac:dyDescent="0.25">
      <c r="A180" s="3" t="s">
        <v>434</v>
      </c>
      <c r="B180" s="3" t="s">
        <v>405</v>
      </c>
      <c r="C180" s="3" t="s">
        <v>411</v>
      </c>
      <c r="D180" s="3" t="s">
        <v>804</v>
      </c>
      <c r="E180" s="3" t="s">
        <v>407</v>
      </c>
      <c r="F180" s="3" t="s">
        <v>584</v>
      </c>
      <c r="G180" s="3" t="s">
        <v>828</v>
      </c>
      <c r="H180" s="3" t="s">
        <v>16</v>
      </c>
      <c r="I180" s="3">
        <v>54</v>
      </c>
      <c r="J180" s="3" t="s">
        <v>502</v>
      </c>
      <c r="K180" s="4">
        <v>46218</v>
      </c>
      <c r="L180" s="3" t="s">
        <v>826</v>
      </c>
      <c r="M180" s="3" t="s">
        <v>826</v>
      </c>
      <c r="N180" s="3" t="s">
        <v>502</v>
      </c>
      <c r="O180" s="3" t="s">
        <v>502</v>
      </c>
      <c r="P180" s="3" t="s">
        <v>502</v>
      </c>
      <c r="Q180" s="3" t="s">
        <v>502</v>
      </c>
      <c r="R180" s="3" t="s">
        <v>9</v>
      </c>
      <c r="S180" s="20">
        <v>81</v>
      </c>
      <c r="T180" s="3" t="s">
        <v>438</v>
      </c>
      <c r="U180" s="3" t="s">
        <v>502</v>
      </c>
      <c r="V180" s="3" t="s">
        <v>502</v>
      </c>
      <c r="W180" s="3" t="s">
        <v>502</v>
      </c>
    </row>
    <row r="181" spans="1:23" s="3" customFormat="1" x14ac:dyDescent="0.25">
      <c r="A181" s="3" t="s">
        <v>434</v>
      </c>
      <c r="B181" s="3" t="s">
        <v>405</v>
      </c>
      <c r="C181" s="3" t="s">
        <v>411</v>
      </c>
      <c r="D181" s="3" t="s">
        <v>804</v>
      </c>
      <c r="E181" s="3" t="s">
        <v>407</v>
      </c>
      <c r="F181" s="3" t="s">
        <v>584</v>
      </c>
      <c r="G181" s="3" t="s">
        <v>829</v>
      </c>
      <c r="H181" s="3" t="s">
        <v>16</v>
      </c>
      <c r="I181" s="3">
        <v>55</v>
      </c>
      <c r="J181" s="3" t="s">
        <v>502</v>
      </c>
      <c r="K181" s="4">
        <v>46218</v>
      </c>
      <c r="L181" s="3" t="s">
        <v>826</v>
      </c>
      <c r="M181" s="3" t="s">
        <v>826</v>
      </c>
      <c r="N181" s="3" t="s">
        <v>502</v>
      </c>
      <c r="O181" s="3" t="s">
        <v>502</v>
      </c>
      <c r="P181" s="3" t="s">
        <v>502</v>
      </c>
      <c r="Q181" s="3" t="s">
        <v>502</v>
      </c>
      <c r="R181" s="3" t="s">
        <v>9</v>
      </c>
      <c r="S181" s="20">
        <v>81</v>
      </c>
      <c r="T181" s="3" t="s">
        <v>439</v>
      </c>
      <c r="U181" s="3" t="s">
        <v>502</v>
      </c>
      <c r="V181" s="3" t="s">
        <v>502</v>
      </c>
      <c r="W181" s="3" t="s">
        <v>502</v>
      </c>
    </row>
    <row r="182" spans="1:23" s="3" customFormat="1" x14ac:dyDescent="0.25">
      <c r="A182" s="3" t="s">
        <v>440</v>
      </c>
      <c r="B182" s="3" t="s">
        <v>405</v>
      </c>
      <c r="C182" s="3" t="s">
        <v>411</v>
      </c>
      <c r="D182" s="3" t="s">
        <v>804</v>
      </c>
      <c r="E182" s="3" t="s">
        <v>407</v>
      </c>
      <c r="F182" s="3" t="s">
        <v>582</v>
      </c>
      <c r="G182" s="3" t="s">
        <v>830</v>
      </c>
      <c r="H182" s="3" t="s">
        <v>16</v>
      </c>
      <c r="I182" s="3">
        <v>64</v>
      </c>
      <c r="J182" s="3" t="s">
        <v>502</v>
      </c>
      <c r="K182" s="4">
        <v>46218</v>
      </c>
      <c r="L182" s="3" t="s">
        <v>831</v>
      </c>
      <c r="M182" s="3" t="s">
        <v>831</v>
      </c>
      <c r="N182" s="3" t="s">
        <v>502</v>
      </c>
      <c r="O182" s="3" t="s">
        <v>502</v>
      </c>
      <c r="P182" s="3" t="s">
        <v>502</v>
      </c>
      <c r="Q182" s="3" t="s">
        <v>502</v>
      </c>
      <c r="R182" s="3" t="s">
        <v>9</v>
      </c>
      <c r="S182" s="20">
        <v>81</v>
      </c>
      <c r="T182" s="3" t="s">
        <v>442</v>
      </c>
      <c r="U182" s="3" t="s">
        <v>502</v>
      </c>
      <c r="V182" s="3" t="s">
        <v>502</v>
      </c>
      <c r="W182" s="3" t="s">
        <v>502</v>
      </c>
    </row>
    <row r="183" spans="1:23" s="3" customFormat="1" x14ac:dyDescent="0.25">
      <c r="A183" s="3" t="s">
        <v>440</v>
      </c>
      <c r="B183" s="3" t="s">
        <v>405</v>
      </c>
      <c r="C183" s="3" t="s">
        <v>411</v>
      </c>
      <c r="D183" s="3" t="s">
        <v>804</v>
      </c>
      <c r="E183" s="3" t="s">
        <v>407</v>
      </c>
      <c r="F183" s="3" t="s">
        <v>582</v>
      </c>
      <c r="G183" s="3" t="s">
        <v>832</v>
      </c>
      <c r="H183" s="3" t="s">
        <v>16</v>
      </c>
      <c r="I183" s="3">
        <v>65</v>
      </c>
      <c r="J183" s="3" t="s">
        <v>502</v>
      </c>
      <c r="K183" s="4">
        <v>46218</v>
      </c>
      <c r="L183" s="3" t="s">
        <v>831</v>
      </c>
      <c r="M183" s="3" t="s">
        <v>831</v>
      </c>
      <c r="N183" s="3" t="s">
        <v>502</v>
      </c>
      <c r="O183" s="3" t="s">
        <v>502</v>
      </c>
      <c r="P183" s="3" t="s">
        <v>502</v>
      </c>
      <c r="Q183" s="3" t="s">
        <v>502</v>
      </c>
      <c r="R183" s="3" t="s">
        <v>9</v>
      </c>
      <c r="S183" s="20">
        <v>81</v>
      </c>
      <c r="T183" s="3" t="s">
        <v>443</v>
      </c>
      <c r="U183" s="3" t="s">
        <v>502</v>
      </c>
      <c r="V183" s="3" t="s">
        <v>502</v>
      </c>
      <c r="W183" s="3" t="s">
        <v>502</v>
      </c>
    </row>
    <row r="184" spans="1:23" s="3" customFormat="1" x14ac:dyDescent="0.25">
      <c r="A184" s="3" t="s">
        <v>440</v>
      </c>
      <c r="B184" s="3" t="s">
        <v>405</v>
      </c>
      <c r="C184" s="3" t="s">
        <v>411</v>
      </c>
      <c r="D184" s="3" t="s">
        <v>804</v>
      </c>
      <c r="E184" s="3" t="s">
        <v>407</v>
      </c>
      <c r="F184" s="3" t="s">
        <v>584</v>
      </c>
      <c r="G184" s="3" t="s">
        <v>833</v>
      </c>
      <c r="H184" s="3" t="s">
        <v>16</v>
      </c>
      <c r="I184" s="3">
        <v>64</v>
      </c>
      <c r="J184" s="3" t="s">
        <v>502</v>
      </c>
      <c r="K184" s="4">
        <v>46218</v>
      </c>
      <c r="L184" s="3" t="s">
        <v>831</v>
      </c>
      <c r="M184" s="3" t="s">
        <v>831</v>
      </c>
      <c r="N184" s="3" t="s">
        <v>502</v>
      </c>
      <c r="O184" s="3" t="s">
        <v>502</v>
      </c>
      <c r="P184" s="3" t="s">
        <v>502</v>
      </c>
      <c r="Q184" s="3" t="s">
        <v>502</v>
      </c>
      <c r="R184" s="3" t="s">
        <v>9</v>
      </c>
      <c r="S184" s="20">
        <v>81</v>
      </c>
      <c r="T184" s="3" t="s">
        <v>444</v>
      </c>
      <c r="U184" s="3" t="s">
        <v>502</v>
      </c>
      <c r="V184" s="3" t="s">
        <v>502</v>
      </c>
      <c r="W184" s="3" t="s">
        <v>502</v>
      </c>
    </row>
    <row r="185" spans="1:23" s="3" customFormat="1" x14ac:dyDescent="0.25">
      <c r="A185" s="3" t="s">
        <v>440</v>
      </c>
      <c r="B185" s="3" t="s">
        <v>405</v>
      </c>
      <c r="C185" s="3" t="s">
        <v>411</v>
      </c>
      <c r="D185" s="3" t="s">
        <v>804</v>
      </c>
      <c r="E185" s="3" t="s">
        <v>407</v>
      </c>
      <c r="F185" s="3" t="s">
        <v>584</v>
      </c>
      <c r="G185" s="3" t="s">
        <v>834</v>
      </c>
      <c r="H185" s="3" t="s">
        <v>16</v>
      </c>
      <c r="I185" s="3">
        <v>65</v>
      </c>
      <c r="J185" s="3" t="s">
        <v>502</v>
      </c>
      <c r="K185" s="4">
        <v>46218</v>
      </c>
      <c r="L185" s="3" t="s">
        <v>831</v>
      </c>
      <c r="M185" s="3" t="s">
        <v>831</v>
      </c>
      <c r="N185" s="3" t="s">
        <v>502</v>
      </c>
      <c r="O185" s="3" t="s">
        <v>502</v>
      </c>
      <c r="P185" s="3" t="s">
        <v>502</v>
      </c>
      <c r="Q185" s="3" t="s">
        <v>502</v>
      </c>
      <c r="R185" s="3" t="s">
        <v>9</v>
      </c>
      <c r="S185" s="20">
        <v>81</v>
      </c>
      <c r="T185" s="3" t="s">
        <v>445</v>
      </c>
      <c r="U185" s="3" t="s">
        <v>502</v>
      </c>
      <c r="V185" s="3" t="s">
        <v>502</v>
      </c>
      <c r="W185" s="3" t="s">
        <v>502</v>
      </c>
    </row>
    <row r="186" spans="1:23" s="3" customFormat="1" x14ac:dyDescent="0.25">
      <c r="A186" s="3" t="s">
        <v>446</v>
      </c>
      <c r="B186" s="3" t="s">
        <v>405</v>
      </c>
      <c r="C186" s="3" t="s">
        <v>411</v>
      </c>
      <c r="D186" s="3" t="s">
        <v>804</v>
      </c>
      <c r="E186" s="3" t="s">
        <v>407</v>
      </c>
      <c r="F186" s="3" t="s">
        <v>582</v>
      </c>
      <c r="G186" s="3" t="s">
        <v>835</v>
      </c>
      <c r="H186" s="3" t="s">
        <v>16</v>
      </c>
      <c r="I186" s="3">
        <v>74</v>
      </c>
      <c r="J186" s="3" t="s">
        <v>502</v>
      </c>
      <c r="K186" s="4">
        <v>46218</v>
      </c>
      <c r="L186" s="3" t="s">
        <v>836</v>
      </c>
      <c r="M186" s="3" t="s">
        <v>836</v>
      </c>
      <c r="N186" s="3" t="s">
        <v>502</v>
      </c>
      <c r="O186" s="3" t="s">
        <v>502</v>
      </c>
      <c r="P186" s="3" t="s">
        <v>502</v>
      </c>
      <c r="Q186" s="3" t="s">
        <v>502</v>
      </c>
      <c r="R186" s="3" t="s">
        <v>9</v>
      </c>
      <c r="S186" s="20">
        <v>81</v>
      </c>
      <c r="T186" s="3" t="s">
        <v>448</v>
      </c>
      <c r="U186" s="3" t="s">
        <v>502</v>
      </c>
      <c r="V186" s="3" t="s">
        <v>502</v>
      </c>
      <c r="W186" s="3" t="s">
        <v>502</v>
      </c>
    </row>
    <row r="187" spans="1:23" s="3" customFormat="1" x14ac:dyDescent="0.25">
      <c r="A187" s="3" t="s">
        <v>446</v>
      </c>
      <c r="B187" s="3" t="s">
        <v>405</v>
      </c>
      <c r="C187" s="3" t="s">
        <v>411</v>
      </c>
      <c r="D187" s="3" t="s">
        <v>804</v>
      </c>
      <c r="E187" s="3" t="s">
        <v>407</v>
      </c>
      <c r="F187" s="3" t="s">
        <v>582</v>
      </c>
      <c r="G187" s="3" t="s">
        <v>837</v>
      </c>
      <c r="H187" s="3" t="s">
        <v>16</v>
      </c>
      <c r="I187" s="3">
        <v>75</v>
      </c>
      <c r="J187" s="3" t="s">
        <v>502</v>
      </c>
      <c r="K187" s="4">
        <v>46218</v>
      </c>
      <c r="L187" s="3" t="s">
        <v>836</v>
      </c>
      <c r="M187" s="3" t="s">
        <v>836</v>
      </c>
      <c r="N187" s="3" t="s">
        <v>502</v>
      </c>
      <c r="O187" s="3" t="s">
        <v>502</v>
      </c>
      <c r="P187" s="3" t="s">
        <v>502</v>
      </c>
      <c r="Q187" s="3" t="s">
        <v>502</v>
      </c>
      <c r="R187" s="3" t="s">
        <v>9</v>
      </c>
      <c r="S187" s="20">
        <v>81</v>
      </c>
      <c r="T187" s="3" t="s">
        <v>449</v>
      </c>
      <c r="U187" s="3" t="s">
        <v>502</v>
      </c>
      <c r="V187" s="3" t="s">
        <v>502</v>
      </c>
      <c r="W187" s="3" t="s">
        <v>502</v>
      </c>
    </row>
    <row r="188" spans="1:23" s="3" customFormat="1" x14ac:dyDescent="0.25">
      <c r="A188" s="3" t="s">
        <v>446</v>
      </c>
      <c r="B188" s="3" t="s">
        <v>405</v>
      </c>
      <c r="C188" s="3" t="s">
        <v>411</v>
      </c>
      <c r="D188" s="3" t="s">
        <v>804</v>
      </c>
      <c r="E188" s="3" t="s">
        <v>407</v>
      </c>
      <c r="F188" s="3" t="s">
        <v>584</v>
      </c>
      <c r="G188" s="3" t="s">
        <v>838</v>
      </c>
      <c r="H188" s="3" t="s">
        <v>16</v>
      </c>
      <c r="I188" s="3">
        <v>74</v>
      </c>
      <c r="J188" s="3" t="s">
        <v>502</v>
      </c>
      <c r="K188" s="4">
        <v>46218</v>
      </c>
      <c r="L188" s="3" t="s">
        <v>836</v>
      </c>
      <c r="M188" s="3" t="s">
        <v>836</v>
      </c>
      <c r="N188" s="3" t="s">
        <v>502</v>
      </c>
      <c r="O188" s="3" t="s">
        <v>502</v>
      </c>
      <c r="P188" s="3" t="s">
        <v>502</v>
      </c>
      <c r="Q188" s="3" t="s">
        <v>502</v>
      </c>
      <c r="R188" s="3" t="s">
        <v>9</v>
      </c>
      <c r="S188" s="20">
        <v>81</v>
      </c>
      <c r="T188" s="3" t="s">
        <v>450</v>
      </c>
      <c r="U188" s="3" t="s">
        <v>502</v>
      </c>
      <c r="V188" s="3" t="s">
        <v>502</v>
      </c>
      <c r="W188" s="3" t="s">
        <v>502</v>
      </c>
    </row>
    <row r="189" spans="1:23" s="3" customFormat="1" x14ac:dyDescent="0.25">
      <c r="A189" s="3" t="s">
        <v>446</v>
      </c>
      <c r="B189" s="3" t="s">
        <v>405</v>
      </c>
      <c r="C189" s="3" t="s">
        <v>411</v>
      </c>
      <c r="D189" s="3" t="s">
        <v>804</v>
      </c>
      <c r="E189" s="3" t="s">
        <v>407</v>
      </c>
      <c r="F189" s="3" t="s">
        <v>584</v>
      </c>
      <c r="G189" s="3" t="s">
        <v>839</v>
      </c>
      <c r="H189" s="3" t="s">
        <v>16</v>
      </c>
      <c r="I189" s="3">
        <v>75</v>
      </c>
      <c r="J189" s="3" t="s">
        <v>502</v>
      </c>
      <c r="K189" s="4">
        <v>46218</v>
      </c>
      <c r="L189" s="3" t="s">
        <v>836</v>
      </c>
      <c r="M189" s="3" t="s">
        <v>836</v>
      </c>
      <c r="N189" s="3" t="s">
        <v>502</v>
      </c>
      <c r="O189" s="3" t="s">
        <v>502</v>
      </c>
      <c r="P189" s="3" t="s">
        <v>502</v>
      </c>
      <c r="Q189" s="3" t="s">
        <v>502</v>
      </c>
      <c r="R189" s="3" t="s">
        <v>9</v>
      </c>
      <c r="S189" s="20">
        <v>81</v>
      </c>
      <c r="T189" s="3" t="s">
        <v>451</v>
      </c>
      <c r="U189" s="3" t="s">
        <v>502</v>
      </c>
      <c r="V189" s="3" t="s">
        <v>502</v>
      </c>
      <c r="W189" s="3" t="s">
        <v>502</v>
      </c>
    </row>
    <row r="190" spans="1:23" s="3" customFormat="1" x14ac:dyDescent="0.25">
      <c r="A190" s="3" t="s">
        <v>452</v>
      </c>
      <c r="B190" s="3" t="s">
        <v>405</v>
      </c>
      <c r="C190" s="3" t="s">
        <v>411</v>
      </c>
      <c r="D190" s="3" t="s">
        <v>804</v>
      </c>
      <c r="E190" s="3" t="s">
        <v>407</v>
      </c>
      <c r="F190" s="3" t="s">
        <v>582</v>
      </c>
      <c r="G190" s="3" t="s">
        <v>840</v>
      </c>
      <c r="H190" s="3" t="s">
        <v>16</v>
      </c>
      <c r="I190" s="3">
        <v>84</v>
      </c>
      <c r="J190" s="3" t="s">
        <v>502</v>
      </c>
      <c r="K190" s="4">
        <v>46218</v>
      </c>
      <c r="L190" s="3" t="s">
        <v>841</v>
      </c>
      <c r="M190" s="3" t="s">
        <v>841</v>
      </c>
      <c r="N190" s="3" t="s">
        <v>502</v>
      </c>
      <c r="O190" s="3" t="s">
        <v>502</v>
      </c>
      <c r="P190" s="3" t="s">
        <v>502</v>
      </c>
      <c r="Q190" s="3" t="s">
        <v>502</v>
      </c>
      <c r="R190" s="3" t="s">
        <v>9</v>
      </c>
      <c r="S190" s="20">
        <v>81</v>
      </c>
      <c r="T190" s="3" t="s">
        <v>454</v>
      </c>
      <c r="U190" s="3" t="s">
        <v>502</v>
      </c>
      <c r="V190" s="3" t="s">
        <v>502</v>
      </c>
      <c r="W190" s="3" t="s">
        <v>502</v>
      </c>
    </row>
    <row r="191" spans="1:23" s="3" customFormat="1" x14ac:dyDescent="0.25">
      <c r="A191" s="3" t="s">
        <v>452</v>
      </c>
      <c r="B191" s="3" t="s">
        <v>405</v>
      </c>
      <c r="C191" s="3" t="s">
        <v>411</v>
      </c>
      <c r="D191" s="3" t="s">
        <v>804</v>
      </c>
      <c r="E191" s="3" t="s">
        <v>407</v>
      </c>
      <c r="F191" s="3" t="s">
        <v>582</v>
      </c>
      <c r="G191" s="3" t="s">
        <v>842</v>
      </c>
      <c r="H191" s="3" t="s">
        <v>16</v>
      </c>
      <c r="I191" s="3">
        <v>85</v>
      </c>
      <c r="J191" s="3" t="s">
        <v>502</v>
      </c>
      <c r="K191" s="4">
        <v>46218</v>
      </c>
      <c r="L191" s="3" t="s">
        <v>841</v>
      </c>
      <c r="M191" s="3" t="s">
        <v>841</v>
      </c>
      <c r="N191" s="3" t="s">
        <v>502</v>
      </c>
      <c r="O191" s="3" t="s">
        <v>502</v>
      </c>
      <c r="P191" s="3" t="s">
        <v>502</v>
      </c>
      <c r="Q191" s="3" t="s">
        <v>502</v>
      </c>
      <c r="R191" s="3" t="s">
        <v>9</v>
      </c>
      <c r="S191" s="20">
        <v>81</v>
      </c>
      <c r="T191" s="3" t="s">
        <v>455</v>
      </c>
      <c r="U191" s="3" t="s">
        <v>502</v>
      </c>
      <c r="V191" s="3" t="s">
        <v>502</v>
      </c>
      <c r="W191" s="3" t="s">
        <v>502</v>
      </c>
    </row>
    <row r="192" spans="1:23" s="3" customFormat="1" x14ac:dyDescent="0.25">
      <c r="A192" s="3" t="s">
        <v>452</v>
      </c>
      <c r="B192" s="3" t="s">
        <v>405</v>
      </c>
      <c r="C192" s="3" t="s">
        <v>411</v>
      </c>
      <c r="D192" s="3" t="s">
        <v>804</v>
      </c>
      <c r="E192" s="3" t="s">
        <v>407</v>
      </c>
      <c r="F192" s="3" t="s">
        <v>584</v>
      </c>
      <c r="G192" s="3" t="s">
        <v>843</v>
      </c>
      <c r="H192" s="3" t="s">
        <v>16</v>
      </c>
      <c r="I192" s="3">
        <v>84</v>
      </c>
      <c r="J192" s="3" t="s">
        <v>502</v>
      </c>
      <c r="K192" s="4">
        <v>46218</v>
      </c>
      <c r="L192" s="3" t="s">
        <v>841</v>
      </c>
      <c r="M192" s="3" t="s">
        <v>841</v>
      </c>
      <c r="N192" s="3" t="s">
        <v>502</v>
      </c>
      <c r="O192" s="3" t="s">
        <v>502</v>
      </c>
      <c r="P192" s="3" t="s">
        <v>502</v>
      </c>
      <c r="Q192" s="3" t="s">
        <v>502</v>
      </c>
      <c r="R192" s="3" t="s">
        <v>9</v>
      </c>
      <c r="S192" s="20">
        <v>81</v>
      </c>
      <c r="T192" s="3" t="s">
        <v>456</v>
      </c>
      <c r="U192" s="3" t="s">
        <v>502</v>
      </c>
      <c r="V192" s="3" t="s">
        <v>502</v>
      </c>
      <c r="W192" s="3" t="s">
        <v>502</v>
      </c>
    </row>
    <row r="193" spans="1:23" s="3" customFormat="1" x14ac:dyDescent="0.25">
      <c r="A193" s="3" t="s">
        <v>452</v>
      </c>
      <c r="B193" s="3" t="s">
        <v>405</v>
      </c>
      <c r="C193" s="3" t="s">
        <v>411</v>
      </c>
      <c r="D193" s="3" t="s">
        <v>804</v>
      </c>
      <c r="E193" s="3" t="s">
        <v>407</v>
      </c>
      <c r="F193" s="3" t="s">
        <v>584</v>
      </c>
      <c r="G193" s="3" t="s">
        <v>844</v>
      </c>
      <c r="H193" s="3" t="s">
        <v>16</v>
      </c>
      <c r="I193" s="3">
        <v>85</v>
      </c>
      <c r="J193" s="3" t="s">
        <v>502</v>
      </c>
      <c r="K193" s="4">
        <v>46218</v>
      </c>
      <c r="L193" s="3" t="s">
        <v>841</v>
      </c>
      <c r="M193" s="3" t="s">
        <v>841</v>
      </c>
      <c r="N193" s="3" t="s">
        <v>502</v>
      </c>
      <c r="O193" s="3" t="s">
        <v>502</v>
      </c>
      <c r="P193" s="3" t="s">
        <v>502</v>
      </c>
      <c r="Q193" s="3" t="s">
        <v>502</v>
      </c>
      <c r="R193" s="3" t="s">
        <v>9</v>
      </c>
      <c r="S193" s="20">
        <v>81</v>
      </c>
      <c r="T193" s="3" t="s">
        <v>457</v>
      </c>
      <c r="U193" s="3" t="s">
        <v>502</v>
      </c>
      <c r="V193" s="3" t="s">
        <v>502</v>
      </c>
      <c r="W193" s="3" t="s">
        <v>502</v>
      </c>
    </row>
    <row r="194" spans="1:23" s="3" customFormat="1" x14ac:dyDescent="0.25">
      <c r="A194" s="3" t="s">
        <v>458</v>
      </c>
      <c r="B194" s="3" t="s">
        <v>405</v>
      </c>
      <c r="C194" s="3" t="s">
        <v>411</v>
      </c>
      <c r="D194" s="3" t="s">
        <v>804</v>
      </c>
      <c r="E194" s="3" t="s">
        <v>407</v>
      </c>
      <c r="F194" s="3" t="s">
        <v>582</v>
      </c>
      <c r="G194" s="3" t="s">
        <v>845</v>
      </c>
      <c r="H194" s="3" t="s">
        <v>16</v>
      </c>
      <c r="I194" s="3">
        <v>94</v>
      </c>
      <c r="J194" s="3" t="s">
        <v>502</v>
      </c>
      <c r="K194" s="4">
        <v>46218</v>
      </c>
      <c r="L194" s="3" t="s">
        <v>846</v>
      </c>
      <c r="M194" s="3" t="s">
        <v>846</v>
      </c>
      <c r="N194" s="3" t="s">
        <v>502</v>
      </c>
      <c r="O194" s="3" t="s">
        <v>502</v>
      </c>
      <c r="P194" s="3" t="s">
        <v>502</v>
      </c>
      <c r="Q194" s="3" t="s">
        <v>502</v>
      </c>
      <c r="R194" s="3" t="s">
        <v>9</v>
      </c>
      <c r="S194" s="20">
        <v>81</v>
      </c>
      <c r="T194" s="3" t="s">
        <v>460</v>
      </c>
      <c r="U194" s="3" t="s">
        <v>502</v>
      </c>
      <c r="V194" s="3" t="s">
        <v>502</v>
      </c>
      <c r="W194" s="3" t="s">
        <v>502</v>
      </c>
    </row>
    <row r="195" spans="1:23" s="3" customFormat="1" x14ac:dyDescent="0.25">
      <c r="A195" s="3" t="s">
        <v>458</v>
      </c>
      <c r="B195" s="3" t="s">
        <v>405</v>
      </c>
      <c r="C195" s="3" t="s">
        <v>411</v>
      </c>
      <c r="D195" s="3" t="s">
        <v>804</v>
      </c>
      <c r="E195" s="3" t="s">
        <v>407</v>
      </c>
      <c r="F195" s="3" t="s">
        <v>582</v>
      </c>
      <c r="G195" s="3" t="s">
        <v>847</v>
      </c>
      <c r="H195" s="3" t="s">
        <v>16</v>
      </c>
      <c r="I195" s="3">
        <v>95</v>
      </c>
      <c r="J195" s="3" t="s">
        <v>502</v>
      </c>
      <c r="K195" s="4">
        <v>46218</v>
      </c>
      <c r="L195" s="3" t="s">
        <v>846</v>
      </c>
      <c r="M195" s="3" t="s">
        <v>846</v>
      </c>
      <c r="N195" s="3" t="s">
        <v>502</v>
      </c>
      <c r="O195" s="3" t="s">
        <v>502</v>
      </c>
      <c r="P195" s="3" t="s">
        <v>502</v>
      </c>
      <c r="Q195" s="3" t="s">
        <v>502</v>
      </c>
      <c r="R195" s="3" t="s">
        <v>9</v>
      </c>
      <c r="S195" s="20">
        <v>81</v>
      </c>
      <c r="T195" s="3" t="s">
        <v>461</v>
      </c>
      <c r="U195" s="3" t="s">
        <v>502</v>
      </c>
      <c r="V195" s="3" t="s">
        <v>502</v>
      </c>
      <c r="W195" s="3" t="s">
        <v>502</v>
      </c>
    </row>
    <row r="196" spans="1:23" s="3" customFormat="1" x14ac:dyDescent="0.25">
      <c r="A196" s="3" t="s">
        <v>458</v>
      </c>
      <c r="B196" s="3" t="s">
        <v>405</v>
      </c>
      <c r="C196" s="3" t="s">
        <v>411</v>
      </c>
      <c r="D196" s="3" t="s">
        <v>804</v>
      </c>
      <c r="E196" s="3" t="s">
        <v>407</v>
      </c>
      <c r="F196" s="3" t="s">
        <v>584</v>
      </c>
      <c r="G196" s="3" t="s">
        <v>848</v>
      </c>
      <c r="H196" s="3" t="s">
        <v>16</v>
      </c>
      <c r="I196" s="3">
        <v>94</v>
      </c>
      <c r="J196" s="3" t="s">
        <v>502</v>
      </c>
      <c r="K196" s="4">
        <v>46218</v>
      </c>
      <c r="L196" s="3" t="s">
        <v>846</v>
      </c>
      <c r="M196" s="3" t="s">
        <v>846</v>
      </c>
      <c r="N196" s="3" t="s">
        <v>502</v>
      </c>
      <c r="O196" s="3" t="s">
        <v>502</v>
      </c>
      <c r="P196" s="3" t="s">
        <v>502</v>
      </c>
      <c r="Q196" s="3" t="s">
        <v>502</v>
      </c>
      <c r="R196" s="3" t="s">
        <v>9</v>
      </c>
      <c r="S196" s="20">
        <v>81</v>
      </c>
      <c r="T196" s="3" t="s">
        <v>462</v>
      </c>
      <c r="U196" s="3" t="s">
        <v>502</v>
      </c>
      <c r="V196" s="3" t="s">
        <v>502</v>
      </c>
      <c r="W196" s="3" t="s">
        <v>502</v>
      </c>
    </row>
    <row r="197" spans="1:23" s="3" customFormat="1" x14ac:dyDescent="0.25">
      <c r="A197" s="3" t="s">
        <v>458</v>
      </c>
      <c r="B197" s="3" t="s">
        <v>405</v>
      </c>
      <c r="C197" s="3" t="s">
        <v>411</v>
      </c>
      <c r="D197" s="3" t="s">
        <v>804</v>
      </c>
      <c r="E197" s="3" t="s">
        <v>407</v>
      </c>
      <c r="F197" s="3" t="s">
        <v>584</v>
      </c>
      <c r="G197" s="3" t="s">
        <v>849</v>
      </c>
      <c r="H197" s="3" t="s">
        <v>16</v>
      </c>
      <c r="I197" s="3">
        <v>95</v>
      </c>
      <c r="J197" s="3" t="s">
        <v>502</v>
      </c>
      <c r="K197" s="4">
        <v>46218</v>
      </c>
      <c r="L197" s="3" t="s">
        <v>846</v>
      </c>
      <c r="M197" s="3" t="s">
        <v>846</v>
      </c>
      <c r="N197" s="3" t="s">
        <v>502</v>
      </c>
      <c r="O197" s="3" t="s">
        <v>502</v>
      </c>
      <c r="P197" s="3" t="s">
        <v>502</v>
      </c>
      <c r="Q197" s="3" t="s">
        <v>502</v>
      </c>
      <c r="R197" s="3" t="s">
        <v>9</v>
      </c>
      <c r="S197" s="20">
        <v>81</v>
      </c>
      <c r="T197" s="3" t="s">
        <v>463</v>
      </c>
      <c r="U197" s="3" t="s">
        <v>502</v>
      </c>
      <c r="V197" s="3" t="s">
        <v>502</v>
      </c>
      <c r="W197" s="3" t="s">
        <v>502</v>
      </c>
    </row>
    <row r="198" spans="1:23" s="3" customFormat="1" x14ac:dyDescent="0.25">
      <c r="A198" s="3" t="s">
        <v>464</v>
      </c>
      <c r="B198" s="3" t="s">
        <v>405</v>
      </c>
      <c r="C198" s="3" t="s">
        <v>411</v>
      </c>
      <c r="D198" s="3" t="s">
        <v>804</v>
      </c>
      <c r="E198" s="3" t="s">
        <v>407</v>
      </c>
      <c r="F198" s="3" t="s">
        <v>582</v>
      </c>
      <c r="G198" s="3" t="s">
        <v>850</v>
      </c>
      <c r="H198" s="3" t="s">
        <v>16</v>
      </c>
      <c r="I198" s="3">
        <v>104</v>
      </c>
      <c r="J198" s="3" t="s">
        <v>502</v>
      </c>
      <c r="K198" s="4">
        <v>46218</v>
      </c>
      <c r="L198" s="3" t="s">
        <v>851</v>
      </c>
      <c r="M198" s="3" t="s">
        <v>851</v>
      </c>
      <c r="N198" s="3" t="s">
        <v>502</v>
      </c>
      <c r="O198" s="3" t="s">
        <v>502</v>
      </c>
      <c r="P198" s="3" t="s">
        <v>502</v>
      </c>
      <c r="Q198" s="3" t="s">
        <v>502</v>
      </c>
      <c r="R198" s="3" t="s">
        <v>9</v>
      </c>
      <c r="S198" s="20">
        <v>81</v>
      </c>
      <c r="T198" s="3" t="s">
        <v>466</v>
      </c>
      <c r="U198" s="3" t="s">
        <v>502</v>
      </c>
      <c r="V198" s="3" t="s">
        <v>502</v>
      </c>
      <c r="W198" s="3" t="s">
        <v>502</v>
      </c>
    </row>
    <row r="199" spans="1:23" s="3" customFormat="1" x14ac:dyDescent="0.25">
      <c r="A199" s="3" t="s">
        <v>464</v>
      </c>
      <c r="B199" s="3" t="s">
        <v>405</v>
      </c>
      <c r="C199" s="3" t="s">
        <v>411</v>
      </c>
      <c r="D199" s="3" t="s">
        <v>804</v>
      </c>
      <c r="E199" s="3" t="s">
        <v>407</v>
      </c>
      <c r="F199" s="3" t="s">
        <v>582</v>
      </c>
      <c r="G199" s="3" t="s">
        <v>852</v>
      </c>
      <c r="H199" s="3" t="s">
        <v>16</v>
      </c>
      <c r="I199" s="3">
        <v>105</v>
      </c>
      <c r="J199" s="3" t="s">
        <v>502</v>
      </c>
      <c r="K199" s="4">
        <v>46218</v>
      </c>
      <c r="L199" s="3" t="s">
        <v>851</v>
      </c>
      <c r="M199" s="3" t="s">
        <v>851</v>
      </c>
      <c r="N199" s="3" t="s">
        <v>502</v>
      </c>
      <c r="O199" s="3" t="s">
        <v>502</v>
      </c>
      <c r="P199" s="3" t="s">
        <v>502</v>
      </c>
      <c r="Q199" s="3" t="s">
        <v>502</v>
      </c>
      <c r="R199" s="3" t="s">
        <v>9</v>
      </c>
      <c r="S199" s="20">
        <v>81</v>
      </c>
      <c r="T199" s="3" t="s">
        <v>467</v>
      </c>
      <c r="U199" s="3" t="s">
        <v>502</v>
      </c>
      <c r="V199" s="3" t="s">
        <v>502</v>
      </c>
      <c r="W199" s="3" t="s">
        <v>502</v>
      </c>
    </row>
    <row r="200" spans="1:23" s="3" customFormat="1" x14ac:dyDescent="0.25">
      <c r="A200" s="3" t="s">
        <v>464</v>
      </c>
      <c r="B200" s="3" t="s">
        <v>405</v>
      </c>
      <c r="C200" s="3" t="s">
        <v>411</v>
      </c>
      <c r="D200" s="3" t="s">
        <v>804</v>
      </c>
      <c r="E200" s="3" t="s">
        <v>407</v>
      </c>
      <c r="F200" s="3" t="s">
        <v>584</v>
      </c>
      <c r="G200" s="3" t="s">
        <v>853</v>
      </c>
      <c r="H200" s="3" t="s">
        <v>16</v>
      </c>
      <c r="I200" s="3">
        <v>104</v>
      </c>
      <c r="J200" s="3" t="s">
        <v>502</v>
      </c>
      <c r="K200" s="4">
        <v>46218</v>
      </c>
      <c r="L200" s="3" t="s">
        <v>851</v>
      </c>
      <c r="M200" s="3" t="s">
        <v>851</v>
      </c>
      <c r="N200" s="3" t="s">
        <v>502</v>
      </c>
      <c r="O200" s="3" t="s">
        <v>502</v>
      </c>
      <c r="P200" s="3" t="s">
        <v>502</v>
      </c>
      <c r="Q200" s="3" t="s">
        <v>502</v>
      </c>
      <c r="R200" s="3" t="s">
        <v>9</v>
      </c>
      <c r="S200" s="20">
        <v>81</v>
      </c>
      <c r="T200" s="3" t="s">
        <v>468</v>
      </c>
      <c r="U200" s="3" t="s">
        <v>502</v>
      </c>
      <c r="V200" s="3" t="s">
        <v>502</v>
      </c>
      <c r="W200" s="3" t="s">
        <v>502</v>
      </c>
    </row>
    <row r="201" spans="1:23" s="3" customFormat="1" x14ac:dyDescent="0.25">
      <c r="A201" s="3" t="s">
        <v>464</v>
      </c>
      <c r="B201" s="3" t="s">
        <v>405</v>
      </c>
      <c r="C201" s="3" t="s">
        <v>411</v>
      </c>
      <c r="D201" s="3" t="s">
        <v>804</v>
      </c>
      <c r="E201" s="3" t="s">
        <v>407</v>
      </c>
      <c r="F201" s="3" t="s">
        <v>584</v>
      </c>
      <c r="G201" s="3" t="s">
        <v>854</v>
      </c>
      <c r="H201" s="3" t="s">
        <v>16</v>
      </c>
      <c r="I201" s="3">
        <v>105</v>
      </c>
      <c r="J201" s="3" t="s">
        <v>502</v>
      </c>
      <c r="K201" s="4">
        <v>46218</v>
      </c>
      <c r="L201" s="3" t="s">
        <v>851</v>
      </c>
      <c r="M201" s="3" t="s">
        <v>851</v>
      </c>
      <c r="N201" s="3" t="s">
        <v>502</v>
      </c>
      <c r="O201" s="3" t="s">
        <v>502</v>
      </c>
      <c r="P201" s="3" t="s">
        <v>502</v>
      </c>
      <c r="Q201" s="3" t="s">
        <v>502</v>
      </c>
      <c r="R201" s="3" t="s">
        <v>9</v>
      </c>
      <c r="S201" s="20">
        <v>81</v>
      </c>
      <c r="T201" s="3" t="s">
        <v>469</v>
      </c>
      <c r="U201" s="3" t="s">
        <v>502</v>
      </c>
      <c r="V201" s="3" t="s">
        <v>502</v>
      </c>
      <c r="W201" s="3" t="s">
        <v>502</v>
      </c>
    </row>
  </sheetData>
  <autoFilter ref="A1:W201"/>
  <hyperlinks>
    <hyperlink ref="T2" r:id="rId1" location="#'Parsed Supplier Source'!A17"/>
    <hyperlink ref="T3" r:id="rId2" location="#'Parsed Ledger Source'!A17"/>
    <hyperlink ref="T4" r:id="rId3" location="#'Parsed Supplier Source'!A27"/>
    <hyperlink ref="T5" r:id="rId4" location="#'Parsed Ledger Source'!A27"/>
    <hyperlink ref="T6" r:id="rId5" location="#'Parsed Supplier Source'!A37"/>
    <hyperlink ref="T7" r:id="rId6" location="#'Parsed Ledger Source'!A37"/>
    <hyperlink ref="T8" r:id="rId7" location="#'Parsed Supplier Source'!A47"/>
    <hyperlink ref="T9" r:id="rId8" location="#'Parsed Ledger Source'!A47"/>
    <hyperlink ref="T10" r:id="rId9" location="#'Parsed Supplier Source'!A57"/>
    <hyperlink ref="T11" r:id="rId10" location="#'Parsed Ledger Source'!A57"/>
    <hyperlink ref="T12" r:id="rId11" location="#'Parsed Supplier Source'!A67"/>
    <hyperlink ref="T13" r:id="rId12" location="#'Parsed Ledger Source'!A67"/>
    <hyperlink ref="T14" r:id="rId13" location="#'Parsed Supplier Source'!A77"/>
    <hyperlink ref="T15" r:id="rId14" location="#'Parsed Ledger Source'!A77"/>
    <hyperlink ref="T16" r:id="rId15" location="#'Parsed Supplier Source'!A87"/>
    <hyperlink ref="T17" r:id="rId16" location="#'Parsed Ledger Source'!A87"/>
    <hyperlink ref="T18" r:id="rId17" location="#'Parsed Supplier Source'!A97"/>
    <hyperlink ref="T19" r:id="rId18" location="#'Parsed Ledger Source'!A97"/>
    <hyperlink ref="T20" r:id="rId19" location="#'Parsed Supplier Source'!A107"/>
    <hyperlink ref="T21" r:id="rId20" location="#'Parsed Ledger Source'!A107"/>
    <hyperlink ref="T22" r:id="rId21" location="#'Parsed Supplier Source'!A8"/>
    <hyperlink ref="T23" r:id="rId22" location="#'Parsed Ledger Source'!A8"/>
    <hyperlink ref="T24" r:id="rId23" location="#'Parsed Ledger Source'!A9"/>
    <hyperlink ref="T25" r:id="rId24" location="#'Parsed Ledger Source'!A10"/>
    <hyperlink ref="T26" r:id="rId25" location="#'Parsed Supplier Source'!A9"/>
    <hyperlink ref="T27" r:id="rId26" location="#'Parsed Supplier Source'!A10"/>
    <hyperlink ref="T28" r:id="rId27" location="#'Parsed Supplier Source'!A11"/>
    <hyperlink ref="T29" r:id="rId28" location="#'Parsed Ledger Source'!A11"/>
    <hyperlink ref="T30" r:id="rId29" location="#'Parsed Supplier Source'!A12"/>
    <hyperlink ref="T31" r:id="rId30" location="#'Parsed Ledger Source'!A12"/>
    <hyperlink ref="T32" r:id="rId31" location="#'Parsed Ledger Source'!A13"/>
    <hyperlink ref="T33" r:id="rId32" location="#'Parsed Supplier Source'!A13"/>
    <hyperlink ref="T34" r:id="rId33" location="#'Parsed Supplier Source'!A14"/>
    <hyperlink ref="T35" r:id="rId34" location="#'Parsed Ledger Source'!A14"/>
    <hyperlink ref="T36" r:id="rId35" location="#'Parsed Supplier Source'!A18"/>
    <hyperlink ref="T37" r:id="rId36" location="#'Parsed Ledger Source'!A18"/>
    <hyperlink ref="T38" r:id="rId37" location="#'Parsed Ledger Source'!A19"/>
    <hyperlink ref="T39" r:id="rId38" location="#'Parsed Ledger Source'!A20"/>
    <hyperlink ref="T40" r:id="rId39" location="#'Parsed Supplier Source'!A19"/>
    <hyperlink ref="T41" r:id="rId40" location="#'Parsed Supplier Source'!A20"/>
    <hyperlink ref="T42" r:id="rId41" location="#'Parsed Supplier Source'!A21"/>
    <hyperlink ref="T43" r:id="rId42" location="#'Parsed Ledger Source'!A21"/>
    <hyperlink ref="T44" r:id="rId43" location="#'Parsed Supplier Source'!A22"/>
    <hyperlink ref="T45" r:id="rId44" location="#'Parsed Ledger Source'!A22"/>
    <hyperlink ref="T46" r:id="rId45" location="#'Parsed Ledger Source'!A23"/>
    <hyperlink ref="T47" r:id="rId46" location="#'Parsed Supplier Source'!A23"/>
    <hyperlink ref="T48" r:id="rId47" location="#'Parsed Supplier Source'!A24"/>
    <hyperlink ref="T49" r:id="rId48" location="#'Parsed Ledger Source'!A24"/>
    <hyperlink ref="T50" r:id="rId49" location="#'Parsed Supplier Source'!A28"/>
    <hyperlink ref="T51" r:id="rId50" location="#'Parsed Ledger Source'!A28"/>
    <hyperlink ref="T52" r:id="rId51" location="#'Parsed Ledger Source'!A29"/>
    <hyperlink ref="T53" r:id="rId52" location="#'Parsed Ledger Source'!A30"/>
    <hyperlink ref="T54" r:id="rId53" location="#'Parsed Supplier Source'!A29"/>
    <hyperlink ref="T55" r:id="rId54" location="#'Parsed Supplier Source'!A30"/>
    <hyperlink ref="T56" r:id="rId55" location="#'Parsed Supplier Source'!A31"/>
    <hyperlink ref="T57" r:id="rId56" location="#'Parsed Ledger Source'!A31"/>
    <hyperlink ref="T58" r:id="rId57" location="#'Parsed Supplier Source'!A32"/>
    <hyperlink ref="T59" r:id="rId58" location="#'Parsed Ledger Source'!A32"/>
    <hyperlink ref="T60" r:id="rId59" location="#'Parsed Ledger Source'!A33"/>
    <hyperlink ref="T61" r:id="rId60" location="#'Parsed Supplier Source'!A33"/>
    <hyperlink ref="T62" r:id="rId61" location="#'Parsed Supplier Source'!A34"/>
    <hyperlink ref="T63" r:id="rId62" location="#'Parsed Ledger Source'!A34"/>
    <hyperlink ref="T64" r:id="rId63" location="#'Parsed Supplier Source'!A38"/>
    <hyperlink ref="T65" r:id="rId64" location="#'Parsed Ledger Source'!A38"/>
    <hyperlink ref="T66" r:id="rId65" location="#'Parsed Ledger Source'!A39"/>
    <hyperlink ref="T67" r:id="rId66" location="#'Parsed Ledger Source'!A40"/>
    <hyperlink ref="T68" r:id="rId67" location="#'Parsed Supplier Source'!A39"/>
    <hyperlink ref="T69" r:id="rId68" location="#'Parsed Supplier Source'!A40"/>
    <hyperlink ref="T70" r:id="rId69" location="#'Parsed Supplier Source'!A41"/>
    <hyperlink ref="T71" r:id="rId70" location="#'Parsed Ledger Source'!A41"/>
    <hyperlink ref="T72" r:id="rId71" location="#'Parsed Supplier Source'!A42"/>
    <hyperlink ref="T73" r:id="rId72" location="#'Parsed Ledger Source'!A42"/>
    <hyperlink ref="T74" r:id="rId73" location="#'Parsed Ledger Source'!A43"/>
    <hyperlink ref="T75" r:id="rId74" location="#'Parsed Supplier Source'!A43"/>
    <hyperlink ref="T76" r:id="rId75" location="#'Parsed Supplier Source'!A44"/>
    <hyperlink ref="T77" r:id="rId76" location="#'Parsed Ledger Source'!A44"/>
    <hyperlink ref="T78" r:id="rId77" location="#'Parsed Supplier Source'!A48"/>
    <hyperlink ref="T79" r:id="rId78" location="#'Parsed Ledger Source'!A48"/>
    <hyperlink ref="T80" r:id="rId79" location="#'Parsed Ledger Source'!A49"/>
    <hyperlink ref="T81" r:id="rId80" location="#'Parsed Ledger Source'!A50"/>
    <hyperlink ref="T82" r:id="rId81" location="#'Parsed Supplier Source'!A49"/>
    <hyperlink ref="T83" r:id="rId82" location="#'Parsed Supplier Source'!A50"/>
    <hyperlink ref="T84" r:id="rId83" location="#'Parsed Supplier Source'!A51"/>
    <hyperlink ref="T85" r:id="rId84" location="#'Parsed Ledger Source'!A51"/>
    <hyperlink ref="T86" r:id="rId85" location="#'Parsed Supplier Source'!A52"/>
    <hyperlink ref="T87" r:id="rId86" location="#'Parsed Ledger Source'!A52"/>
    <hyperlink ref="T88" r:id="rId87" location="#'Parsed Ledger Source'!A53"/>
    <hyperlink ref="T89" r:id="rId88" location="#'Parsed Supplier Source'!A53"/>
    <hyperlink ref="T90" r:id="rId89" location="#'Parsed Supplier Source'!A54"/>
    <hyperlink ref="T91" r:id="rId90" location="#'Parsed Ledger Source'!A54"/>
    <hyperlink ref="T92" r:id="rId91" location="#'Parsed Supplier Source'!A58"/>
    <hyperlink ref="T93" r:id="rId92" location="#'Parsed Ledger Source'!A58"/>
    <hyperlink ref="T94" r:id="rId93" location="#'Parsed Ledger Source'!A59"/>
    <hyperlink ref="T95" r:id="rId94" location="#'Parsed Ledger Source'!A60"/>
    <hyperlink ref="T96" r:id="rId95" location="#'Parsed Supplier Source'!A59"/>
    <hyperlink ref="T97" r:id="rId96" location="#'Parsed Supplier Source'!A60"/>
    <hyperlink ref="T98" r:id="rId97" location="#'Parsed Supplier Source'!A61"/>
    <hyperlink ref="T99" r:id="rId98" location="#'Parsed Ledger Source'!A61"/>
    <hyperlink ref="T100" r:id="rId99" location="#'Parsed Supplier Source'!A62"/>
    <hyperlink ref="T101" r:id="rId100" location="#'Parsed Ledger Source'!A62"/>
    <hyperlink ref="T102" r:id="rId101" location="#'Parsed Ledger Source'!A63"/>
    <hyperlink ref="T103" r:id="rId102" location="#'Parsed Supplier Source'!A63"/>
    <hyperlink ref="T104" r:id="rId103" location="#'Parsed Supplier Source'!A64"/>
    <hyperlink ref="T105" r:id="rId104" location="#'Parsed Ledger Source'!A64"/>
    <hyperlink ref="T106" r:id="rId105" location="#'Parsed Supplier Source'!A68"/>
    <hyperlink ref="T107" r:id="rId106" location="#'Parsed Ledger Source'!A68"/>
    <hyperlink ref="T108" r:id="rId107" location="#'Parsed Ledger Source'!A69"/>
    <hyperlink ref="T109" r:id="rId108" location="#'Parsed Ledger Source'!A70"/>
    <hyperlink ref="T110" r:id="rId109" location="#'Parsed Supplier Source'!A69"/>
    <hyperlink ref="T111" r:id="rId110" location="#'Parsed Supplier Source'!A70"/>
    <hyperlink ref="T112" r:id="rId111" location="#'Parsed Supplier Source'!A71"/>
    <hyperlink ref="T113" r:id="rId112" location="#'Parsed Ledger Source'!A71"/>
    <hyperlink ref="T114" r:id="rId113" location="#'Parsed Supplier Source'!A72"/>
    <hyperlink ref="T115" r:id="rId114" location="#'Parsed Ledger Source'!A72"/>
    <hyperlink ref="T116" r:id="rId115" location="#'Parsed Ledger Source'!A73"/>
    <hyperlink ref="T117" r:id="rId116" location="#'Parsed Supplier Source'!A73"/>
    <hyperlink ref="T118" r:id="rId117" location="#'Parsed Supplier Source'!A74"/>
    <hyperlink ref="T119" r:id="rId118" location="#'Parsed Ledger Source'!A74"/>
    <hyperlink ref="T120" r:id="rId119" location="#'Parsed Supplier Source'!A78"/>
    <hyperlink ref="T121" r:id="rId120" location="#'Parsed Ledger Source'!A78"/>
    <hyperlink ref="T122" r:id="rId121" location="#'Parsed Ledger Source'!A79"/>
    <hyperlink ref="T123" r:id="rId122" location="#'Parsed Ledger Source'!A80"/>
    <hyperlink ref="T124" r:id="rId123" location="#'Parsed Supplier Source'!A79"/>
    <hyperlink ref="T125" r:id="rId124" location="#'Parsed Supplier Source'!A80"/>
    <hyperlink ref="T126" r:id="rId125" location="#'Parsed Supplier Source'!A81"/>
    <hyperlink ref="T127" r:id="rId126" location="#'Parsed Ledger Source'!A81"/>
    <hyperlink ref="T128" r:id="rId127" location="#'Parsed Supplier Source'!A82"/>
    <hyperlink ref="T129" r:id="rId128" location="#'Parsed Ledger Source'!A82"/>
    <hyperlink ref="T130" r:id="rId129" location="#'Parsed Ledger Source'!A83"/>
    <hyperlink ref="T131" r:id="rId130" location="#'Parsed Supplier Source'!A83"/>
    <hyperlink ref="T132" r:id="rId131" location="#'Parsed Supplier Source'!A84"/>
    <hyperlink ref="T133" r:id="rId132" location="#'Parsed Ledger Source'!A84"/>
    <hyperlink ref="T134" r:id="rId133" location="#'Parsed Supplier Source'!A88"/>
    <hyperlink ref="T135" r:id="rId134" location="#'Parsed Ledger Source'!A88"/>
    <hyperlink ref="T136" r:id="rId135" location="#'Parsed Ledger Source'!A89"/>
    <hyperlink ref="T137" r:id="rId136" location="#'Parsed Ledger Source'!A90"/>
    <hyperlink ref="T138" r:id="rId137" location="#'Parsed Supplier Source'!A89"/>
    <hyperlink ref="T139" r:id="rId138" location="#'Parsed Supplier Source'!A90"/>
    <hyperlink ref="T140" r:id="rId139" location="#'Parsed Supplier Source'!A91"/>
    <hyperlink ref="T141" r:id="rId140" location="#'Parsed Ledger Source'!A91"/>
    <hyperlink ref="T142" r:id="rId141" location="#'Parsed Supplier Source'!A92"/>
    <hyperlink ref="T143" r:id="rId142" location="#'Parsed Ledger Source'!A92"/>
    <hyperlink ref="T144" r:id="rId143" location="#'Parsed Ledger Source'!A93"/>
    <hyperlink ref="T145" r:id="rId144" location="#'Parsed Supplier Source'!A93"/>
    <hyperlink ref="T146" r:id="rId145" location="#'Parsed Supplier Source'!A94"/>
    <hyperlink ref="T147" r:id="rId146" location="#'Parsed Ledger Source'!A94"/>
    <hyperlink ref="T148" r:id="rId147" location="#'Parsed Supplier Source'!A98"/>
    <hyperlink ref="T149" r:id="rId148" location="#'Parsed Ledger Source'!A98"/>
    <hyperlink ref="T150" r:id="rId149" location="#'Parsed Ledger Source'!A99"/>
    <hyperlink ref="T151" r:id="rId150" location="#'Parsed Ledger Source'!A100"/>
    <hyperlink ref="T152" r:id="rId151" location="#'Parsed Supplier Source'!A99"/>
    <hyperlink ref="T153" r:id="rId152" location="#'Parsed Supplier Source'!A100"/>
    <hyperlink ref="T154" r:id="rId153" location="#'Parsed Supplier Source'!A101"/>
    <hyperlink ref="T155" r:id="rId154" location="#'Parsed Ledger Source'!A101"/>
    <hyperlink ref="T156" r:id="rId155" location="#'Parsed Supplier Source'!A102"/>
    <hyperlink ref="T157" r:id="rId156" location="#'Parsed Ledger Source'!A102"/>
    <hyperlink ref="T158" r:id="rId157" location="#'Parsed Ledger Source'!A103"/>
    <hyperlink ref="T159" r:id="rId158" location="#'Parsed Supplier Source'!A103"/>
    <hyperlink ref="T160" r:id="rId159" location="#'Parsed Supplier Source'!A104"/>
    <hyperlink ref="T161" r:id="rId160" location="#'Parsed Ledger Source'!A104"/>
    <hyperlink ref="T162" r:id="rId161" location="#'Parsed Supplier Source'!A15"/>
    <hyperlink ref="T163" r:id="rId162" location="#'Parsed Supplier Source'!A16"/>
    <hyperlink ref="T164" r:id="rId163" location="#'Parsed Ledger Source'!A15"/>
    <hyperlink ref="T165" r:id="rId164" location="#'Parsed Ledger Source'!A16"/>
    <hyperlink ref="T166" r:id="rId165" location="#'Parsed Supplier Source'!A25"/>
    <hyperlink ref="T167" r:id="rId166" location="#'Parsed Supplier Source'!A26"/>
    <hyperlink ref="T168" r:id="rId167" location="#'Parsed Ledger Source'!A25"/>
    <hyperlink ref="T169" r:id="rId168" location="#'Parsed Ledger Source'!A26"/>
    <hyperlink ref="T170" r:id="rId169" location="#'Parsed Supplier Source'!A35"/>
    <hyperlink ref="T171" r:id="rId170" location="#'Parsed Supplier Source'!A36"/>
    <hyperlink ref="T172" r:id="rId171" location="#'Parsed Ledger Source'!A35"/>
    <hyperlink ref="T173" r:id="rId172" location="#'Parsed Ledger Source'!A36"/>
    <hyperlink ref="T174" r:id="rId173" location="#'Parsed Supplier Source'!A45"/>
    <hyperlink ref="T175" r:id="rId174" location="#'Parsed Supplier Source'!A46"/>
    <hyperlink ref="T176" r:id="rId175" location="#'Parsed Ledger Source'!A45"/>
    <hyperlink ref="T177" r:id="rId176" location="#'Parsed Ledger Source'!A46"/>
    <hyperlink ref="T178" r:id="rId177" location="#'Parsed Supplier Source'!A55"/>
    <hyperlink ref="T179" r:id="rId178" location="#'Parsed Supplier Source'!A56"/>
    <hyperlink ref="T180" r:id="rId179" location="#'Parsed Ledger Source'!A55"/>
    <hyperlink ref="T181" r:id="rId180" location="#'Parsed Ledger Source'!A56"/>
    <hyperlink ref="T182" r:id="rId181" location="#'Parsed Supplier Source'!A65"/>
    <hyperlink ref="T183" r:id="rId182" location="#'Parsed Supplier Source'!A66"/>
    <hyperlink ref="T184" r:id="rId183" location="#'Parsed Ledger Source'!A65"/>
    <hyperlink ref="T185" r:id="rId184" location="#'Parsed Ledger Source'!A66"/>
    <hyperlink ref="T186" r:id="rId185" location="#'Parsed Supplier Source'!A75"/>
    <hyperlink ref="T187" r:id="rId186" location="#'Parsed Supplier Source'!A76"/>
    <hyperlink ref="T188" r:id="rId187" location="#'Parsed Ledger Source'!A75"/>
    <hyperlink ref="T189" r:id="rId188" location="#'Parsed Ledger Source'!A76"/>
    <hyperlink ref="T190" r:id="rId189" location="#'Parsed Supplier Source'!A85"/>
    <hyperlink ref="T191" r:id="rId190" location="#'Parsed Supplier Source'!A86"/>
    <hyperlink ref="T192" r:id="rId191" location="#'Parsed Ledger Source'!A85"/>
    <hyperlink ref="T193" r:id="rId192" location="#'Parsed Ledger Source'!A86"/>
    <hyperlink ref="T194" r:id="rId193" location="#'Parsed Supplier Source'!A95"/>
    <hyperlink ref="T195" r:id="rId194" location="#'Parsed Supplier Source'!A96"/>
    <hyperlink ref="T196" r:id="rId195" location="#'Parsed Ledger Source'!A95"/>
    <hyperlink ref="T197" r:id="rId196" location="#'Parsed Ledger Source'!A96"/>
    <hyperlink ref="T198" r:id="rId197" location="#'Parsed Supplier Source'!A105"/>
    <hyperlink ref="T199" r:id="rId198" location="#'Parsed Supplier Source'!A106"/>
    <hyperlink ref="T200" r:id="rId199" location="#'Parsed Ledger Source'!A105"/>
    <hyperlink ref="T201" r:id="rId200" location="#'Parsed Ledger Source'!A106"/>
  </hyperlinks>
  <pageMargins left="0.7" right="0.7" top="0.75" bottom="0.75" header="0.3" footer="0.3"/>
  <pageSetup orientation="landscape" horizontalDpi="4294967295" verticalDpi="4294967295" scale="100"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
  <sheetViews>
    <sheetView workbookViewId="0" rightToLeft="1">
      <pane ySplit="1" topLeftCell="A2" activePane="bottomLeft" state="frozen"/>
      <selection pane="bottomLeft"/>
    </sheetView>
  </sheetViews>
  <sheetFormatPr defaultRowHeight="15" outlineLevelRow="0" outlineLevelCol="0" x14ac:dyDescent="55"/>
  <cols>
    <col min="1" max="1" width="45" customWidth="1"/>
    <col min="2" max="2" width="16" customWidth="1"/>
    <col min="3" max="3" width="18" customWidth="1"/>
    <col min="4" max="4" width="45" customWidth="1"/>
  </cols>
  <sheetData>
    <row r="1" ht="28" customHeight="1" spans="1:4" s="22" customFormat="1" x14ac:dyDescent="0.25">
      <c r="A1" s="22" t="s">
        <v>855</v>
      </c>
      <c r="B1" s="22" t="s">
        <v>856</v>
      </c>
      <c r="C1" s="22" t="s">
        <v>857</v>
      </c>
      <c r="D1" s="22" t="s">
        <v>403</v>
      </c>
    </row>
    <row r="2" spans="1:4" s="3" customFormat="1" x14ac:dyDescent="0.25">
      <c r="A2" s="4">
        <v>46294.61342494213</v>
      </c>
      <c r="B2" s="3" t="s">
        <v>858</v>
      </c>
      <c r="C2" s="3" t="s">
        <v>502</v>
      </c>
      <c r="D2" s="3" t="s">
        <v>859</v>
      </c>
    </row>
  </sheetData>
  <autoFilter ref="A1:D2"/>
  <pageMargins left="0.7" right="0.7" top="0.75" bottom="0.75" header="0.3" footer="0.3"/>
  <pageSetup orientation="landscape" horizontalDpi="4294967295" verticalDpi="4294967295" scale="100"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01"/>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45" customWidth="1"/>
    <col min="5" max="6" width="17" customWidth="1"/>
    <col min="7" max="7" width="28" customWidth="1"/>
    <col min="8" max="8" width="17" style="7" customWidth="1"/>
    <col min="9" max="9" width="17" customWidth="1"/>
    <col min="10" max="10" width="20" customWidth="1"/>
  </cols>
  <sheetData>
    <row r="1" ht="28" customHeight="1" spans="1:10" s="22" customFormat="1" x14ac:dyDescent="0.25">
      <c r="A1" s="22" t="s">
        <v>860</v>
      </c>
      <c r="B1" s="22" t="s">
        <v>861</v>
      </c>
      <c r="C1" s="22" t="s">
        <v>862</v>
      </c>
      <c r="D1" s="22" t="s">
        <v>863</v>
      </c>
      <c r="E1" s="22" t="s">
        <v>864</v>
      </c>
      <c r="F1" s="22" t="s">
        <v>865</v>
      </c>
      <c r="G1" s="22" t="s">
        <v>866</v>
      </c>
      <c r="H1" s="23" t="s">
        <v>867</v>
      </c>
      <c r="I1" s="22" t="s">
        <v>868</v>
      </c>
      <c r="J1" s="22" t="s">
        <v>869</v>
      </c>
    </row>
    <row r="2" spans="1:10" s="3" customFormat="1" x14ac:dyDescent="0.25">
      <c r="A2" s="3" t="s">
        <v>604</v>
      </c>
      <c r="B2" s="3" t="s">
        <v>16</v>
      </c>
      <c r="C2" s="3">
        <v>7</v>
      </c>
      <c r="D2" s="4">
        <v>46218</v>
      </c>
      <c r="E2" s="3" t="s">
        <v>128</v>
      </c>
      <c r="F2" s="3" t="s">
        <v>870</v>
      </c>
      <c r="G2" s="3" t="s">
        <v>871</v>
      </c>
      <c r="H2" s="20">
        <v>6750</v>
      </c>
      <c r="I2" s="3" t="s">
        <v>872</v>
      </c>
      <c r="J2" s="3" t="s">
        <v>502</v>
      </c>
    </row>
    <row r="3" spans="1:10" s="3" customFormat="1" x14ac:dyDescent="0.25">
      <c r="A3" s="3" t="s">
        <v>610</v>
      </c>
      <c r="B3" s="3" t="s">
        <v>16</v>
      </c>
      <c r="C3" s="3">
        <v>8</v>
      </c>
      <c r="D3" s="4">
        <v>46218</v>
      </c>
      <c r="E3" s="3" t="s">
        <v>138</v>
      </c>
      <c r="F3" s="3" t="s">
        <v>873</v>
      </c>
      <c r="G3" s="3" t="s">
        <v>871</v>
      </c>
      <c r="H3" s="20">
        <v>2500</v>
      </c>
      <c r="I3" s="3" t="s">
        <v>874</v>
      </c>
      <c r="J3" s="3" t="s">
        <v>502</v>
      </c>
    </row>
    <row r="4" spans="1:10" s="3" customFormat="1" x14ac:dyDescent="0.25">
      <c r="A4" s="3" t="s">
        <v>613</v>
      </c>
      <c r="B4" s="3" t="s">
        <v>16</v>
      </c>
      <c r="C4" s="3">
        <v>9</v>
      </c>
      <c r="D4" s="4">
        <v>46218</v>
      </c>
      <c r="E4" s="3" t="s">
        <v>138</v>
      </c>
      <c r="F4" s="3" t="s">
        <v>873</v>
      </c>
      <c r="G4" s="3" t="s">
        <v>871</v>
      </c>
      <c r="H4" s="20">
        <v>2250</v>
      </c>
      <c r="I4" s="3" t="s">
        <v>875</v>
      </c>
      <c r="J4" s="3" t="s">
        <v>502</v>
      </c>
    </row>
    <row r="5" spans="1:10" s="3" customFormat="1" x14ac:dyDescent="0.25">
      <c r="A5" s="3" t="s">
        <v>614</v>
      </c>
      <c r="B5" s="3" t="s">
        <v>16</v>
      </c>
      <c r="C5" s="3">
        <v>10</v>
      </c>
      <c r="D5" s="4">
        <v>46218</v>
      </c>
      <c r="E5" s="3" t="s">
        <v>138</v>
      </c>
      <c r="F5" s="3" t="s">
        <v>873</v>
      </c>
      <c r="G5" s="3" t="s">
        <v>871</v>
      </c>
      <c r="H5" s="20">
        <v>2000</v>
      </c>
      <c r="I5" s="3" t="s">
        <v>876</v>
      </c>
      <c r="J5" s="3" t="s">
        <v>502</v>
      </c>
    </row>
    <row r="6" spans="1:10" s="3" customFormat="1" x14ac:dyDescent="0.25">
      <c r="A6" s="3" t="s">
        <v>616</v>
      </c>
      <c r="B6" s="3" t="s">
        <v>16</v>
      </c>
      <c r="C6" s="3">
        <v>11</v>
      </c>
      <c r="D6" s="4">
        <v>46218</v>
      </c>
      <c r="E6" s="3" t="s">
        <v>146</v>
      </c>
      <c r="F6" s="3" t="s">
        <v>877</v>
      </c>
      <c r="G6" s="3" t="s">
        <v>871</v>
      </c>
      <c r="H6" s="20">
        <v>-300</v>
      </c>
      <c r="I6" s="3" t="s">
        <v>878</v>
      </c>
      <c r="J6" s="3" t="s">
        <v>502</v>
      </c>
    </row>
    <row r="7" spans="1:10" s="3" customFormat="1" x14ac:dyDescent="0.25">
      <c r="A7" s="3" t="s">
        <v>620</v>
      </c>
      <c r="B7" s="3" t="s">
        <v>16</v>
      </c>
      <c r="C7" s="3">
        <v>12</v>
      </c>
      <c r="D7" s="4">
        <v>46218</v>
      </c>
      <c r="E7" s="3" t="s">
        <v>154</v>
      </c>
      <c r="F7" s="3" t="s">
        <v>879</v>
      </c>
      <c r="G7" s="3" t="s">
        <v>871</v>
      </c>
      <c r="H7" s="20">
        <v>-123</v>
      </c>
      <c r="I7" s="3" t="s">
        <v>880</v>
      </c>
      <c r="J7" s="3" t="s">
        <v>502</v>
      </c>
    </row>
    <row r="8" spans="1:10" s="3" customFormat="1" x14ac:dyDescent="0.25">
      <c r="A8" s="3" t="s">
        <v>622</v>
      </c>
      <c r="B8" s="3" t="s">
        <v>16</v>
      </c>
      <c r="C8" s="3">
        <v>13</v>
      </c>
      <c r="D8" s="4">
        <v>46218</v>
      </c>
      <c r="E8" s="3" t="s">
        <v>154</v>
      </c>
      <c r="F8" s="3" t="s">
        <v>879</v>
      </c>
      <c r="G8" s="3" t="s">
        <v>871</v>
      </c>
      <c r="H8" s="20">
        <v>-177</v>
      </c>
      <c r="I8" s="3" t="s">
        <v>881</v>
      </c>
      <c r="J8" s="3" t="s">
        <v>502</v>
      </c>
    </row>
    <row r="9" spans="1:10" s="3" customFormat="1" x14ac:dyDescent="0.25">
      <c r="A9" s="3" t="s">
        <v>805</v>
      </c>
      <c r="B9" s="3" t="s">
        <v>16</v>
      </c>
      <c r="C9" s="3">
        <v>14</v>
      </c>
      <c r="D9" s="4">
        <v>46218</v>
      </c>
      <c r="E9" s="3" t="s">
        <v>806</v>
      </c>
      <c r="F9" s="3" t="s">
        <v>882</v>
      </c>
      <c r="G9" s="3" t="s">
        <v>871</v>
      </c>
      <c r="H9" s="20">
        <v>81</v>
      </c>
      <c r="I9" s="3" t="s">
        <v>883</v>
      </c>
      <c r="J9" s="3" t="s">
        <v>502</v>
      </c>
    </row>
    <row r="10" spans="1:10" s="3" customFormat="1" x14ac:dyDescent="0.25">
      <c r="A10" s="3" t="s">
        <v>807</v>
      </c>
      <c r="B10" s="3" t="s">
        <v>16</v>
      </c>
      <c r="C10" s="3">
        <v>15</v>
      </c>
      <c r="D10" s="4">
        <v>46218</v>
      </c>
      <c r="E10" s="3" t="s">
        <v>806</v>
      </c>
      <c r="F10" s="3" t="s">
        <v>882</v>
      </c>
      <c r="G10" s="3" t="s">
        <v>871</v>
      </c>
      <c r="H10" s="20">
        <v>81</v>
      </c>
      <c r="I10" s="3" t="s">
        <v>883</v>
      </c>
      <c r="J10" s="3" t="s">
        <v>502</v>
      </c>
    </row>
    <row r="11" spans="1:10" s="3" customFormat="1" x14ac:dyDescent="0.25">
      <c r="A11" s="3" t="s">
        <v>583</v>
      </c>
      <c r="B11" s="3" t="s">
        <v>16</v>
      </c>
      <c r="C11" s="3">
        <v>16</v>
      </c>
      <c r="D11" s="4">
        <v>46218</v>
      </c>
      <c r="E11" s="3" t="s">
        <v>82</v>
      </c>
      <c r="F11" s="3" t="s">
        <v>884</v>
      </c>
      <c r="G11" s="3" t="s">
        <v>871</v>
      </c>
      <c r="H11" s="20">
        <v>127</v>
      </c>
      <c r="I11" s="3" t="s">
        <v>885</v>
      </c>
      <c r="J11" s="3" t="s">
        <v>502</v>
      </c>
    </row>
    <row r="12" spans="1:10" s="3" customFormat="1" x14ac:dyDescent="0.25">
      <c r="A12" s="3" t="s">
        <v>624</v>
      </c>
      <c r="B12" s="3" t="s">
        <v>16</v>
      </c>
      <c r="C12" s="3">
        <v>17</v>
      </c>
      <c r="D12" s="4">
        <v>46218</v>
      </c>
      <c r="E12" s="3" t="s">
        <v>161</v>
      </c>
      <c r="F12" s="3" t="s">
        <v>886</v>
      </c>
      <c r="G12" s="3" t="s">
        <v>871</v>
      </c>
      <c r="H12" s="20">
        <v>6750</v>
      </c>
      <c r="I12" s="3" t="s">
        <v>872</v>
      </c>
      <c r="J12" s="3" t="s">
        <v>502</v>
      </c>
    </row>
    <row r="13" spans="1:10" s="3" customFormat="1" x14ac:dyDescent="0.25">
      <c r="A13" s="3" t="s">
        <v>630</v>
      </c>
      <c r="B13" s="3" t="s">
        <v>16</v>
      </c>
      <c r="C13" s="3">
        <v>18</v>
      </c>
      <c r="D13" s="4">
        <v>46218</v>
      </c>
      <c r="E13" s="3" t="s">
        <v>168</v>
      </c>
      <c r="F13" s="3" t="s">
        <v>887</v>
      </c>
      <c r="G13" s="3" t="s">
        <v>871</v>
      </c>
      <c r="H13" s="20">
        <v>2500</v>
      </c>
      <c r="I13" s="3" t="s">
        <v>874</v>
      </c>
      <c r="J13" s="3" t="s">
        <v>502</v>
      </c>
    </row>
    <row r="14" spans="1:10" s="3" customFormat="1" x14ac:dyDescent="0.25">
      <c r="A14" s="3" t="s">
        <v>633</v>
      </c>
      <c r="B14" s="3" t="s">
        <v>16</v>
      </c>
      <c r="C14" s="3">
        <v>19</v>
      </c>
      <c r="D14" s="4">
        <v>46218</v>
      </c>
      <c r="E14" s="3" t="s">
        <v>168</v>
      </c>
      <c r="F14" s="3" t="s">
        <v>887</v>
      </c>
      <c r="G14" s="3" t="s">
        <v>871</v>
      </c>
      <c r="H14" s="20">
        <v>2250</v>
      </c>
      <c r="I14" s="3" t="s">
        <v>875</v>
      </c>
      <c r="J14" s="3" t="s">
        <v>502</v>
      </c>
    </row>
    <row r="15" spans="1:10" s="3" customFormat="1" x14ac:dyDescent="0.25">
      <c r="A15" s="3" t="s">
        <v>634</v>
      </c>
      <c r="B15" s="3" t="s">
        <v>16</v>
      </c>
      <c r="C15" s="3">
        <v>20</v>
      </c>
      <c r="D15" s="4">
        <v>46218</v>
      </c>
      <c r="E15" s="3" t="s">
        <v>168</v>
      </c>
      <c r="F15" s="3" t="s">
        <v>887</v>
      </c>
      <c r="G15" s="3" t="s">
        <v>871</v>
      </c>
      <c r="H15" s="20">
        <v>2000</v>
      </c>
      <c r="I15" s="3" t="s">
        <v>876</v>
      </c>
      <c r="J15" s="3" t="s">
        <v>502</v>
      </c>
    </row>
    <row r="16" spans="1:10" s="3" customFormat="1" x14ac:dyDescent="0.25">
      <c r="A16" s="3" t="s">
        <v>636</v>
      </c>
      <c r="B16" s="3" t="s">
        <v>16</v>
      </c>
      <c r="C16" s="3">
        <v>21</v>
      </c>
      <c r="D16" s="4">
        <v>46218</v>
      </c>
      <c r="E16" s="3" t="s">
        <v>175</v>
      </c>
      <c r="F16" s="3" t="s">
        <v>888</v>
      </c>
      <c r="G16" s="3" t="s">
        <v>871</v>
      </c>
      <c r="H16" s="20">
        <v>-300</v>
      </c>
      <c r="I16" s="3" t="s">
        <v>878</v>
      </c>
      <c r="J16" s="3" t="s">
        <v>502</v>
      </c>
    </row>
    <row r="17" spans="1:10" s="3" customFormat="1" x14ac:dyDescent="0.25">
      <c r="A17" s="3" t="s">
        <v>640</v>
      </c>
      <c r="B17" s="3" t="s">
        <v>16</v>
      </c>
      <c r="C17" s="3">
        <v>22</v>
      </c>
      <c r="D17" s="4">
        <v>46218</v>
      </c>
      <c r="E17" s="3" t="s">
        <v>181</v>
      </c>
      <c r="F17" s="3" t="s">
        <v>889</v>
      </c>
      <c r="G17" s="3" t="s">
        <v>871</v>
      </c>
      <c r="H17" s="20">
        <v>-123</v>
      </c>
      <c r="I17" s="3" t="s">
        <v>880</v>
      </c>
      <c r="J17" s="3" t="s">
        <v>502</v>
      </c>
    </row>
    <row r="18" spans="1:10" s="3" customFormat="1" x14ac:dyDescent="0.25">
      <c r="A18" s="3" t="s">
        <v>642</v>
      </c>
      <c r="B18" s="3" t="s">
        <v>16</v>
      </c>
      <c r="C18" s="3">
        <v>23</v>
      </c>
      <c r="D18" s="4">
        <v>46218</v>
      </c>
      <c r="E18" s="3" t="s">
        <v>181</v>
      </c>
      <c r="F18" s="3" t="s">
        <v>889</v>
      </c>
      <c r="G18" s="3" t="s">
        <v>871</v>
      </c>
      <c r="H18" s="20">
        <v>-177</v>
      </c>
      <c r="I18" s="3" t="s">
        <v>881</v>
      </c>
      <c r="J18" s="3" t="s">
        <v>502</v>
      </c>
    </row>
    <row r="19" spans="1:10" s="3" customFormat="1" x14ac:dyDescent="0.25">
      <c r="A19" s="3" t="s">
        <v>810</v>
      </c>
      <c r="B19" s="3" t="s">
        <v>16</v>
      </c>
      <c r="C19" s="3">
        <v>24</v>
      </c>
      <c r="D19" s="4">
        <v>46218</v>
      </c>
      <c r="E19" s="3" t="s">
        <v>811</v>
      </c>
      <c r="F19" s="3" t="s">
        <v>890</v>
      </c>
      <c r="G19" s="3" t="s">
        <v>871</v>
      </c>
      <c r="H19" s="20">
        <v>81</v>
      </c>
      <c r="I19" s="3" t="s">
        <v>883</v>
      </c>
      <c r="J19" s="3" t="s">
        <v>502</v>
      </c>
    </row>
    <row r="20" spans="1:10" s="3" customFormat="1" x14ac:dyDescent="0.25">
      <c r="A20" s="3" t="s">
        <v>812</v>
      </c>
      <c r="B20" s="3" t="s">
        <v>16</v>
      </c>
      <c r="C20" s="3">
        <v>25</v>
      </c>
      <c r="D20" s="4">
        <v>46218</v>
      </c>
      <c r="E20" s="3" t="s">
        <v>811</v>
      </c>
      <c r="F20" s="3" t="s">
        <v>890</v>
      </c>
      <c r="G20" s="3" t="s">
        <v>871</v>
      </c>
      <c r="H20" s="20">
        <v>81</v>
      </c>
      <c r="I20" s="3" t="s">
        <v>883</v>
      </c>
      <c r="J20" s="3" t="s">
        <v>502</v>
      </c>
    </row>
    <row r="21" spans="1:10" s="3" customFormat="1" x14ac:dyDescent="0.25">
      <c r="A21" s="3" t="s">
        <v>586</v>
      </c>
      <c r="B21" s="3" t="s">
        <v>16</v>
      </c>
      <c r="C21" s="3">
        <v>26</v>
      </c>
      <c r="D21" s="4">
        <v>46218</v>
      </c>
      <c r="E21" s="3" t="s">
        <v>91</v>
      </c>
      <c r="F21" s="3" t="s">
        <v>891</v>
      </c>
      <c r="G21" s="3" t="s">
        <v>871</v>
      </c>
      <c r="H21" s="20">
        <v>127</v>
      </c>
      <c r="I21" s="3" t="s">
        <v>885</v>
      </c>
      <c r="J21" s="3" t="s">
        <v>502</v>
      </c>
    </row>
    <row r="22" spans="1:10" s="3" customFormat="1" x14ac:dyDescent="0.25">
      <c r="A22" s="3" t="s">
        <v>644</v>
      </c>
      <c r="B22" s="3" t="s">
        <v>16</v>
      </c>
      <c r="C22" s="3">
        <v>27</v>
      </c>
      <c r="D22" s="4">
        <v>46218</v>
      </c>
      <c r="E22" s="3" t="s">
        <v>187</v>
      </c>
      <c r="F22" s="3" t="s">
        <v>892</v>
      </c>
      <c r="G22" s="3" t="s">
        <v>871</v>
      </c>
      <c r="H22" s="20">
        <v>6750</v>
      </c>
      <c r="I22" s="3" t="s">
        <v>872</v>
      </c>
      <c r="J22" s="3" t="s">
        <v>502</v>
      </c>
    </row>
    <row r="23" spans="1:10" s="3" customFormat="1" x14ac:dyDescent="0.25">
      <c r="A23" s="3" t="s">
        <v>650</v>
      </c>
      <c r="B23" s="3" t="s">
        <v>16</v>
      </c>
      <c r="C23" s="3">
        <v>28</v>
      </c>
      <c r="D23" s="4">
        <v>46218</v>
      </c>
      <c r="E23" s="3" t="s">
        <v>194</v>
      </c>
      <c r="F23" s="3" t="s">
        <v>893</v>
      </c>
      <c r="G23" s="3" t="s">
        <v>871</v>
      </c>
      <c r="H23" s="20">
        <v>2500</v>
      </c>
      <c r="I23" s="3" t="s">
        <v>874</v>
      </c>
      <c r="J23" s="3" t="s">
        <v>502</v>
      </c>
    </row>
    <row r="24" spans="1:10" s="3" customFormat="1" x14ac:dyDescent="0.25">
      <c r="A24" s="3" t="s">
        <v>653</v>
      </c>
      <c r="B24" s="3" t="s">
        <v>16</v>
      </c>
      <c r="C24" s="3">
        <v>29</v>
      </c>
      <c r="D24" s="4">
        <v>46218</v>
      </c>
      <c r="E24" s="3" t="s">
        <v>194</v>
      </c>
      <c r="F24" s="3" t="s">
        <v>893</v>
      </c>
      <c r="G24" s="3" t="s">
        <v>871</v>
      </c>
      <c r="H24" s="20">
        <v>2250</v>
      </c>
      <c r="I24" s="3" t="s">
        <v>875</v>
      </c>
      <c r="J24" s="3" t="s">
        <v>502</v>
      </c>
    </row>
    <row r="25" spans="1:10" s="3" customFormat="1" x14ac:dyDescent="0.25">
      <c r="A25" s="3" t="s">
        <v>654</v>
      </c>
      <c r="B25" s="3" t="s">
        <v>16</v>
      </c>
      <c r="C25" s="3">
        <v>30</v>
      </c>
      <c r="D25" s="4">
        <v>46218</v>
      </c>
      <c r="E25" s="3" t="s">
        <v>194</v>
      </c>
      <c r="F25" s="3" t="s">
        <v>893</v>
      </c>
      <c r="G25" s="3" t="s">
        <v>871</v>
      </c>
      <c r="H25" s="20">
        <v>2000</v>
      </c>
      <c r="I25" s="3" t="s">
        <v>876</v>
      </c>
      <c r="J25" s="3" t="s">
        <v>502</v>
      </c>
    </row>
    <row r="26" spans="1:10" s="3" customFormat="1" x14ac:dyDescent="0.25">
      <c r="A26" s="3" t="s">
        <v>656</v>
      </c>
      <c r="B26" s="3" t="s">
        <v>16</v>
      </c>
      <c r="C26" s="3">
        <v>31</v>
      </c>
      <c r="D26" s="4">
        <v>46218</v>
      </c>
      <c r="E26" s="3" t="s">
        <v>201</v>
      </c>
      <c r="F26" s="3" t="s">
        <v>894</v>
      </c>
      <c r="G26" s="3" t="s">
        <v>871</v>
      </c>
      <c r="H26" s="20">
        <v>-300</v>
      </c>
      <c r="I26" s="3" t="s">
        <v>878</v>
      </c>
      <c r="J26" s="3" t="s">
        <v>502</v>
      </c>
    </row>
    <row r="27" spans="1:10" s="3" customFormat="1" x14ac:dyDescent="0.25">
      <c r="A27" s="3" t="s">
        <v>660</v>
      </c>
      <c r="B27" s="3" t="s">
        <v>16</v>
      </c>
      <c r="C27" s="3">
        <v>32</v>
      </c>
      <c r="D27" s="4">
        <v>46218</v>
      </c>
      <c r="E27" s="3" t="s">
        <v>207</v>
      </c>
      <c r="F27" s="3" t="s">
        <v>895</v>
      </c>
      <c r="G27" s="3" t="s">
        <v>871</v>
      </c>
      <c r="H27" s="20">
        <v>-123</v>
      </c>
      <c r="I27" s="3" t="s">
        <v>880</v>
      </c>
      <c r="J27" s="3" t="s">
        <v>502</v>
      </c>
    </row>
    <row r="28" spans="1:10" s="3" customFormat="1" x14ac:dyDescent="0.25">
      <c r="A28" s="3" t="s">
        <v>662</v>
      </c>
      <c r="B28" s="3" t="s">
        <v>16</v>
      </c>
      <c r="C28" s="3">
        <v>33</v>
      </c>
      <c r="D28" s="4">
        <v>46218</v>
      </c>
      <c r="E28" s="3" t="s">
        <v>207</v>
      </c>
      <c r="F28" s="3" t="s">
        <v>895</v>
      </c>
      <c r="G28" s="3" t="s">
        <v>871</v>
      </c>
      <c r="H28" s="20">
        <v>-177</v>
      </c>
      <c r="I28" s="3" t="s">
        <v>881</v>
      </c>
      <c r="J28" s="3" t="s">
        <v>502</v>
      </c>
    </row>
    <row r="29" spans="1:10" s="3" customFormat="1" x14ac:dyDescent="0.25">
      <c r="A29" s="3" t="s">
        <v>815</v>
      </c>
      <c r="B29" s="3" t="s">
        <v>16</v>
      </c>
      <c r="C29" s="3">
        <v>34</v>
      </c>
      <c r="D29" s="4">
        <v>46218</v>
      </c>
      <c r="E29" s="3" t="s">
        <v>816</v>
      </c>
      <c r="F29" s="3" t="s">
        <v>896</v>
      </c>
      <c r="G29" s="3" t="s">
        <v>871</v>
      </c>
      <c r="H29" s="20">
        <v>81</v>
      </c>
      <c r="I29" s="3" t="s">
        <v>883</v>
      </c>
      <c r="J29" s="3" t="s">
        <v>502</v>
      </c>
    </row>
    <row r="30" spans="1:10" s="3" customFormat="1" x14ac:dyDescent="0.25">
      <c r="A30" s="3" t="s">
        <v>817</v>
      </c>
      <c r="B30" s="3" t="s">
        <v>16</v>
      </c>
      <c r="C30" s="3">
        <v>35</v>
      </c>
      <c r="D30" s="4">
        <v>46218</v>
      </c>
      <c r="E30" s="3" t="s">
        <v>816</v>
      </c>
      <c r="F30" s="3" t="s">
        <v>896</v>
      </c>
      <c r="G30" s="3" t="s">
        <v>871</v>
      </c>
      <c r="H30" s="20">
        <v>81</v>
      </c>
      <c r="I30" s="3" t="s">
        <v>883</v>
      </c>
      <c r="J30" s="3" t="s">
        <v>502</v>
      </c>
    </row>
    <row r="31" spans="1:10" s="3" customFormat="1" x14ac:dyDescent="0.25">
      <c r="A31" s="3" t="s">
        <v>588</v>
      </c>
      <c r="B31" s="3" t="s">
        <v>16</v>
      </c>
      <c r="C31" s="3">
        <v>36</v>
      </c>
      <c r="D31" s="4">
        <v>46218</v>
      </c>
      <c r="E31" s="3" t="s">
        <v>95</v>
      </c>
      <c r="F31" s="3" t="s">
        <v>897</v>
      </c>
      <c r="G31" s="3" t="s">
        <v>871</v>
      </c>
      <c r="H31" s="20">
        <v>127</v>
      </c>
      <c r="I31" s="3" t="s">
        <v>885</v>
      </c>
      <c r="J31" s="3" t="s">
        <v>502</v>
      </c>
    </row>
    <row r="32" spans="1:10" s="3" customFormat="1" x14ac:dyDescent="0.25">
      <c r="A32" s="3" t="s">
        <v>664</v>
      </c>
      <c r="B32" s="3" t="s">
        <v>16</v>
      </c>
      <c r="C32" s="3">
        <v>37</v>
      </c>
      <c r="D32" s="4">
        <v>46218</v>
      </c>
      <c r="E32" s="3" t="s">
        <v>213</v>
      </c>
      <c r="F32" s="3" t="s">
        <v>898</v>
      </c>
      <c r="G32" s="3" t="s">
        <v>871</v>
      </c>
      <c r="H32" s="20">
        <v>6750</v>
      </c>
      <c r="I32" s="3" t="s">
        <v>872</v>
      </c>
      <c r="J32" s="3" t="s">
        <v>502</v>
      </c>
    </row>
    <row r="33" spans="1:10" s="3" customFormat="1" x14ac:dyDescent="0.25">
      <c r="A33" s="3" t="s">
        <v>670</v>
      </c>
      <c r="B33" s="3" t="s">
        <v>16</v>
      </c>
      <c r="C33" s="3">
        <v>38</v>
      </c>
      <c r="D33" s="4">
        <v>46218</v>
      </c>
      <c r="E33" s="3" t="s">
        <v>220</v>
      </c>
      <c r="F33" s="3" t="s">
        <v>899</v>
      </c>
      <c r="G33" s="3" t="s">
        <v>871</v>
      </c>
      <c r="H33" s="20">
        <v>2500</v>
      </c>
      <c r="I33" s="3" t="s">
        <v>874</v>
      </c>
      <c r="J33" s="3" t="s">
        <v>502</v>
      </c>
    </row>
    <row r="34" spans="1:10" s="3" customFormat="1" x14ac:dyDescent="0.25">
      <c r="A34" s="3" t="s">
        <v>673</v>
      </c>
      <c r="B34" s="3" t="s">
        <v>16</v>
      </c>
      <c r="C34" s="3">
        <v>39</v>
      </c>
      <c r="D34" s="4">
        <v>46218</v>
      </c>
      <c r="E34" s="3" t="s">
        <v>220</v>
      </c>
      <c r="F34" s="3" t="s">
        <v>899</v>
      </c>
      <c r="G34" s="3" t="s">
        <v>871</v>
      </c>
      <c r="H34" s="20">
        <v>2250</v>
      </c>
      <c r="I34" s="3" t="s">
        <v>875</v>
      </c>
      <c r="J34" s="3" t="s">
        <v>502</v>
      </c>
    </row>
    <row r="35" spans="1:10" s="3" customFormat="1" x14ac:dyDescent="0.25">
      <c r="A35" s="3" t="s">
        <v>674</v>
      </c>
      <c r="B35" s="3" t="s">
        <v>16</v>
      </c>
      <c r="C35" s="3">
        <v>40</v>
      </c>
      <c r="D35" s="4">
        <v>46218</v>
      </c>
      <c r="E35" s="3" t="s">
        <v>220</v>
      </c>
      <c r="F35" s="3" t="s">
        <v>899</v>
      </c>
      <c r="G35" s="3" t="s">
        <v>871</v>
      </c>
      <c r="H35" s="20">
        <v>2000</v>
      </c>
      <c r="I35" s="3" t="s">
        <v>876</v>
      </c>
      <c r="J35" s="3" t="s">
        <v>502</v>
      </c>
    </row>
    <row r="36" spans="1:10" s="3" customFormat="1" x14ac:dyDescent="0.25">
      <c r="A36" s="3" t="s">
        <v>676</v>
      </c>
      <c r="B36" s="3" t="s">
        <v>16</v>
      </c>
      <c r="C36" s="3">
        <v>41</v>
      </c>
      <c r="D36" s="4">
        <v>46218</v>
      </c>
      <c r="E36" s="3" t="s">
        <v>227</v>
      </c>
      <c r="F36" s="3" t="s">
        <v>900</v>
      </c>
      <c r="G36" s="3" t="s">
        <v>871</v>
      </c>
      <c r="H36" s="20">
        <v>-300</v>
      </c>
      <c r="I36" s="3" t="s">
        <v>878</v>
      </c>
      <c r="J36" s="3" t="s">
        <v>502</v>
      </c>
    </row>
    <row r="37" spans="1:10" s="3" customFormat="1" x14ac:dyDescent="0.25">
      <c r="A37" s="3" t="s">
        <v>680</v>
      </c>
      <c r="B37" s="3" t="s">
        <v>16</v>
      </c>
      <c r="C37" s="3">
        <v>42</v>
      </c>
      <c r="D37" s="4">
        <v>46218</v>
      </c>
      <c r="E37" s="3" t="s">
        <v>233</v>
      </c>
      <c r="F37" s="3" t="s">
        <v>901</v>
      </c>
      <c r="G37" s="3" t="s">
        <v>871</v>
      </c>
      <c r="H37" s="20">
        <v>-123</v>
      </c>
      <c r="I37" s="3" t="s">
        <v>880</v>
      </c>
      <c r="J37" s="3" t="s">
        <v>502</v>
      </c>
    </row>
    <row r="38" spans="1:10" s="3" customFormat="1" x14ac:dyDescent="0.25">
      <c r="A38" s="3" t="s">
        <v>682</v>
      </c>
      <c r="B38" s="3" t="s">
        <v>16</v>
      </c>
      <c r="C38" s="3">
        <v>43</v>
      </c>
      <c r="D38" s="4">
        <v>46218</v>
      </c>
      <c r="E38" s="3" t="s">
        <v>233</v>
      </c>
      <c r="F38" s="3" t="s">
        <v>901</v>
      </c>
      <c r="G38" s="3" t="s">
        <v>871</v>
      </c>
      <c r="H38" s="20">
        <v>-177</v>
      </c>
      <c r="I38" s="3" t="s">
        <v>881</v>
      </c>
      <c r="J38" s="3" t="s">
        <v>502</v>
      </c>
    </row>
    <row r="39" spans="1:10" s="3" customFormat="1" x14ac:dyDescent="0.25">
      <c r="A39" s="3" t="s">
        <v>820</v>
      </c>
      <c r="B39" s="3" t="s">
        <v>16</v>
      </c>
      <c r="C39" s="3">
        <v>44</v>
      </c>
      <c r="D39" s="4">
        <v>46218</v>
      </c>
      <c r="E39" s="3" t="s">
        <v>821</v>
      </c>
      <c r="F39" s="3" t="s">
        <v>902</v>
      </c>
      <c r="G39" s="3" t="s">
        <v>871</v>
      </c>
      <c r="H39" s="20">
        <v>81</v>
      </c>
      <c r="I39" s="3" t="s">
        <v>883</v>
      </c>
      <c r="J39" s="3" t="s">
        <v>502</v>
      </c>
    </row>
    <row r="40" spans="1:10" s="3" customFormat="1" x14ac:dyDescent="0.25">
      <c r="A40" s="3" t="s">
        <v>822</v>
      </c>
      <c r="B40" s="3" t="s">
        <v>16</v>
      </c>
      <c r="C40" s="3">
        <v>45</v>
      </c>
      <c r="D40" s="4">
        <v>46218</v>
      </c>
      <c r="E40" s="3" t="s">
        <v>821</v>
      </c>
      <c r="F40" s="3" t="s">
        <v>902</v>
      </c>
      <c r="G40" s="3" t="s">
        <v>871</v>
      </c>
      <c r="H40" s="20">
        <v>81</v>
      </c>
      <c r="I40" s="3" t="s">
        <v>883</v>
      </c>
      <c r="J40" s="3" t="s">
        <v>502</v>
      </c>
    </row>
    <row r="41" spans="1:10" s="3" customFormat="1" x14ac:dyDescent="0.25">
      <c r="A41" s="3" t="s">
        <v>590</v>
      </c>
      <c r="B41" s="3" t="s">
        <v>16</v>
      </c>
      <c r="C41" s="3">
        <v>46</v>
      </c>
      <c r="D41" s="4">
        <v>46218</v>
      </c>
      <c r="E41" s="3" t="s">
        <v>99</v>
      </c>
      <c r="F41" s="3" t="s">
        <v>903</v>
      </c>
      <c r="G41" s="3" t="s">
        <v>871</v>
      </c>
      <c r="H41" s="20">
        <v>127</v>
      </c>
      <c r="I41" s="3" t="s">
        <v>885</v>
      </c>
      <c r="J41" s="3" t="s">
        <v>502</v>
      </c>
    </row>
    <row r="42" spans="1:10" s="3" customFormat="1" x14ac:dyDescent="0.25">
      <c r="A42" s="3" t="s">
        <v>684</v>
      </c>
      <c r="B42" s="3" t="s">
        <v>16</v>
      </c>
      <c r="C42" s="3">
        <v>47</v>
      </c>
      <c r="D42" s="4">
        <v>46218</v>
      </c>
      <c r="E42" s="3" t="s">
        <v>239</v>
      </c>
      <c r="F42" s="3" t="s">
        <v>904</v>
      </c>
      <c r="G42" s="3" t="s">
        <v>871</v>
      </c>
      <c r="H42" s="20">
        <v>6750</v>
      </c>
      <c r="I42" s="3" t="s">
        <v>872</v>
      </c>
      <c r="J42" s="3" t="s">
        <v>502</v>
      </c>
    </row>
    <row r="43" spans="1:10" s="3" customFormat="1" x14ac:dyDescent="0.25">
      <c r="A43" s="3" t="s">
        <v>690</v>
      </c>
      <c r="B43" s="3" t="s">
        <v>16</v>
      </c>
      <c r="C43" s="3">
        <v>48</v>
      </c>
      <c r="D43" s="4">
        <v>46218</v>
      </c>
      <c r="E43" s="3" t="s">
        <v>246</v>
      </c>
      <c r="F43" s="3" t="s">
        <v>905</v>
      </c>
      <c r="G43" s="3" t="s">
        <v>871</v>
      </c>
      <c r="H43" s="20">
        <v>2500</v>
      </c>
      <c r="I43" s="3" t="s">
        <v>874</v>
      </c>
      <c r="J43" s="3" t="s">
        <v>502</v>
      </c>
    </row>
    <row r="44" spans="1:10" s="3" customFormat="1" x14ac:dyDescent="0.25">
      <c r="A44" s="3" t="s">
        <v>693</v>
      </c>
      <c r="B44" s="3" t="s">
        <v>16</v>
      </c>
      <c r="C44" s="3">
        <v>49</v>
      </c>
      <c r="D44" s="4">
        <v>46218</v>
      </c>
      <c r="E44" s="3" t="s">
        <v>246</v>
      </c>
      <c r="F44" s="3" t="s">
        <v>905</v>
      </c>
      <c r="G44" s="3" t="s">
        <v>871</v>
      </c>
      <c r="H44" s="20">
        <v>2250</v>
      </c>
      <c r="I44" s="3" t="s">
        <v>875</v>
      </c>
      <c r="J44" s="3" t="s">
        <v>502</v>
      </c>
    </row>
    <row r="45" spans="1:10" s="3" customFormat="1" x14ac:dyDescent="0.25">
      <c r="A45" s="3" t="s">
        <v>694</v>
      </c>
      <c r="B45" s="3" t="s">
        <v>16</v>
      </c>
      <c r="C45" s="3">
        <v>50</v>
      </c>
      <c r="D45" s="4">
        <v>46218</v>
      </c>
      <c r="E45" s="3" t="s">
        <v>246</v>
      </c>
      <c r="F45" s="3" t="s">
        <v>905</v>
      </c>
      <c r="G45" s="3" t="s">
        <v>871</v>
      </c>
      <c r="H45" s="20">
        <v>2000</v>
      </c>
      <c r="I45" s="3" t="s">
        <v>876</v>
      </c>
      <c r="J45" s="3" t="s">
        <v>502</v>
      </c>
    </row>
    <row r="46" spans="1:10" s="3" customFormat="1" x14ac:dyDescent="0.25">
      <c r="A46" s="3" t="s">
        <v>696</v>
      </c>
      <c r="B46" s="3" t="s">
        <v>16</v>
      </c>
      <c r="C46" s="3">
        <v>51</v>
      </c>
      <c r="D46" s="4">
        <v>46218</v>
      </c>
      <c r="E46" s="3" t="s">
        <v>253</v>
      </c>
      <c r="F46" s="3" t="s">
        <v>906</v>
      </c>
      <c r="G46" s="3" t="s">
        <v>871</v>
      </c>
      <c r="H46" s="20">
        <v>-300</v>
      </c>
      <c r="I46" s="3" t="s">
        <v>878</v>
      </c>
      <c r="J46" s="3" t="s">
        <v>502</v>
      </c>
    </row>
    <row r="47" spans="1:10" s="3" customFormat="1" x14ac:dyDescent="0.25">
      <c r="A47" s="3" t="s">
        <v>700</v>
      </c>
      <c r="B47" s="3" t="s">
        <v>16</v>
      </c>
      <c r="C47" s="3">
        <v>52</v>
      </c>
      <c r="D47" s="4">
        <v>46218</v>
      </c>
      <c r="E47" s="3" t="s">
        <v>259</v>
      </c>
      <c r="F47" s="3" t="s">
        <v>907</v>
      </c>
      <c r="G47" s="3" t="s">
        <v>871</v>
      </c>
      <c r="H47" s="20">
        <v>-123</v>
      </c>
      <c r="I47" s="3" t="s">
        <v>880</v>
      </c>
      <c r="J47" s="3" t="s">
        <v>502</v>
      </c>
    </row>
    <row r="48" spans="1:10" s="3" customFormat="1" x14ac:dyDescent="0.25">
      <c r="A48" s="3" t="s">
        <v>702</v>
      </c>
      <c r="B48" s="3" t="s">
        <v>16</v>
      </c>
      <c r="C48" s="3">
        <v>53</v>
      </c>
      <c r="D48" s="4">
        <v>46218</v>
      </c>
      <c r="E48" s="3" t="s">
        <v>259</v>
      </c>
      <c r="F48" s="3" t="s">
        <v>907</v>
      </c>
      <c r="G48" s="3" t="s">
        <v>871</v>
      </c>
      <c r="H48" s="20">
        <v>-177</v>
      </c>
      <c r="I48" s="3" t="s">
        <v>881</v>
      </c>
      <c r="J48" s="3" t="s">
        <v>502</v>
      </c>
    </row>
    <row r="49" spans="1:10" s="3" customFormat="1" x14ac:dyDescent="0.25">
      <c r="A49" s="3" t="s">
        <v>825</v>
      </c>
      <c r="B49" s="3" t="s">
        <v>16</v>
      </c>
      <c r="C49" s="3">
        <v>54</v>
      </c>
      <c r="D49" s="4">
        <v>46218</v>
      </c>
      <c r="E49" s="3" t="s">
        <v>826</v>
      </c>
      <c r="F49" s="3" t="s">
        <v>908</v>
      </c>
      <c r="G49" s="3" t="s">
        <v>871</v>
      </c>
      <c r="H49" s="20">
        <v>81</v>
      </c>
      <c r="I49" s="3" t="s">
        <v>883</v>
      </c>
      <c r="J49" s="3" t="s">
        <v>502</v>
      </c>
    </row>
    <row r="50" spans="1:10" s="3" customFormat="1" x14ac:dyDescent="0.25">
      <c r="A50" s="3" t="s">
        <v>827</v>
      </c>
      <c r="B50" s="3" t="s">
        <v>16</v>
      </c>
      <c r="C50" s="3">
        <v>55</v>
      </c>
      <c r="D50" s="4">
        <v>46218</v>
      </c>
      <c r="E50" s="3" t="s">
        <v>826</v>
      </c>
      <c r="F50" s="3" t="s">
        <v>908</v>
      </c>
      <c r="G50" s="3" t="s">
        <v>871</v>
      </c>
      <c r="H50" s="20">
        <v>81</v>
      </c>
      <c r="I50" s="3" t="s">
        <v>883</v>
      </c>
      <c r="J50" s="3" t="s">
        <v>502</v>
      </c>
    </row>
    <row r="51" spans="1:10" s="3" customFormat="1" x14ac:dyDescent="0.25">
      <c r="A51" s="3" t="s">
        <v>592</v>
      </c>
      <c r="B51" s="3" t="s">
        <v>16</v>
      </c>
      <c r="C51" s="3">
        <v>56</v>
      </c>
      <c r="D51" s="4">
        <v>46218</v>
      </c>
      <c r="E51" s="3" t="s">
        <v>103</v>
      </c>
      <c r="F51" s="3" t="s">
        <v>909</v>
      </c>
      <c r="G51" s="3" t="s">
        <v>871</v>
      </c>
      <c r="H51" s="20">
        <v>127</v>
      </c>
      <c r="I51" s="3" t="s">
        <v>885</v>
      </c>
      <c r="J51" s="3" t="s">
        <v>502</v>
      </c>
    </row>
    <row r="52" spans="1:10" s="3" customFormat="1" x14ac:dyDescent="0.25">
      <c r="A52" s="3" t="s">
        <v>704</v>
      </c>
      <c r="B52" s="3" t="s">
        <v>16</v>
      </c>
      <c r="C52" s="3">
        <v>57</v>
      </c>
      <c r="D52" s="4">
        <v>46218</v>
      </c>
      <c r="E52" s="3" t="s">
        <v>265</v>
      </c>
      <c r="F52" s="3" t="s">
        <v>910</v>
      </c>
      <c r="G52" s="3" t="s">
        <v>871</v>
      </c>
      <c r="H52" s="20">
        <v>6750</v>
      </c>
      <c r="I52" s="3" t="s">
        <v>872</v>
      </c>
      <c r="J52" s="3" t="s">
        <v>502</v>
      </c>
    </row>
    <row r="53" spans="1:10" s="3" customFormat="1" x14ac:dyDescent="0.25">
      <c r="A53" s="3" t="s">
        <v>710</v>
      </c>
      <c r="B53" s="3" t="s">
        <v>16</v>
      </c>
      <c r="C53" s="3">
        <v>58</v>
      </c>
      <c r="D53" s="4">
        <v>46218</v>
      </c>
      <c r="E53" s="3" t="s">
        <v>272</v>
      </c>
      <c r="F53" s="3" t="s">
        <v>911</v>
      </c>
      <c r="G53" s="3" t="s">
        <v>871</v>
      </c>
      <c r="H53" s="20">
        <v>2500</v>
      </c>
      <c r="I53" s="3" t="s">
        <v>874</v>
      </c>
      <c r="J53" s="3" t="s">
        <v>502</v>
      </c>
    </row>
    <row r="54" spans="1:10" s="3" customFormat="1" x14ac:dyDescent="0.25">
      <c r="A54" s="3" t="s">
        <v>713</v>
      </c>
      <c r="B54" s="3" t="s">
        <v>16</v>
      </c>
      <c r="C54" s="3">
        <v>59</v>
      </c>
      <c r="D54" s="4">
        <v>46218</v>
      </c>
      <c r="E54" s="3" t="s">
        <v>272</v>
      </c>
      <c r="F54" s="3" t="s">
        <v>911</v>
      </c>
      <c r="G54" s="3" t="s">
        <v>871</v>
      </c>
      <c r="H54" s="20">
        <v>2250</v>
      </c>
      <c r="I54" s="3" t="s">
        <v>875</v>
      </c>
      <c r="J54" s="3" t="s">
        <v>502</v>
      </c>
    </row>
    <row r="55" spans="1:10" s="3" customFormat="1" x14ac:dyDescent="0.25">
      <c r="A55" s="3" t="s">
        <v>714</v>
      </c>
      <c r="B55" s="3" t="s">
        <v>16</v>
      </c>
      <c r="C55" s="3">
        <v>60</v>
      </c>
      <c r="D55" s="4">
        <v>46218</v>
      </c>
      <c r="E55" s="3" t="s">
        <v>272</v>
      </c>
      <c r="F55" s="3" t="s">
        <v>911</v>
      </c>
      <c r="G55" s="3" t="s">
        <v>871</v>
      </c>
      <c r="H55" s="20">
        <v>2000</v>
      </c>
      <c r="I55" s="3" t="s">
        <v>876</v>
      </c>
      <c r="J55" s="3" t="s">
        <v>502</v>
      </c>
    </row>
    <row r="56" spans="1:10" s="3" customFormat="1" x14ac:dyDescent="0.25">
      <c r="A56" s="3" t="s">
        <v>716</v>
      </c>
      <c r="B56" s="3" t="s">
        <v>16</v>
      </c>
      <c r="C56" s="3">
        <v>61</v>
      </c>
      <c r="D56" s="4">
        <v>46218</v>
      </c>
      <c r="E56" s="3" t="s">
        <v>279</v>
      </c>
      <c r="F56" s="3" t="s">
        <v>912</v>
      </c>
      <c r="G56" s="3" t="s">
        <v>871</v>
      </c>
      <c r="H56" s="20">
        <v>-300</v>
      </c>
      <c r="I56" s="3" t="s">
        <v>878</v>
      </c>
      <c r="J56" s="3" t="s">
        <v>502</v>
      </c>
    </row>
    <row r="57" spans="1:10" s="3" customFormat="1" x14ac:dyDescent="0.25">
      <c r="A57" s="3" t="s">
        <v>720</v>
      </c>
      <c r="B57" s="3" t="s">
        <v>16</v>
      </c>
      <c r="C57" s="3">
        <v>62</v>
      </c>
      <c r="D57" s="4">
        <v>46218</v>
      </c>
      <c r="E57" s="3" t="s">
        <v>285</v>
      </c>
      <c r="F57" s="3" t="s">
        <v>913</v>
      </c>
      <c r="G57" s="3" t="s">
        <v>871</v>
      </c>
      <c r="H57" s="20">
        <v>-123</v>
      </c>
      <c r="I57" s="3" t="s">
        <v>880</v>
      </c>
      <c r="J57" s="3" t="s">
        <v>502</v>
      </c>
    </row>
    <row r="58" spans="1:10" s="3" customFormat="1" x14ac:dyDescent="0.25">
      <c r="A58" s="3" t="s">
        <v>722</v>
      </c>
      <c r="B58" s="3" t="s">
        <v>16</v>
      </c>
      <c r="C58" s="3">
        <v>63</v>
      </c>
      <c r="D58" s="4">
        <v>46218</v>
      </c>
      <c r="E58" s="3" t="s">
        <v>285</v>
      </c>
      <c r="F58" s="3" t="s">
        <v>913</v>
      </c>
      <c r="G58" s="3" t="s">
        <v>871</v>
      </c>
      <c r="H58" s="20">
        <v>-177</v>
      </c>
      <c r="I58" s="3" t="s">
        <v>881</v>
      </c>
      <c r="J58" s="3" t="s">
        <v>502</v>
      </c>
    </row>
    <row r="59" spans="1:10" s="3" customFormat="1" x14ac:dyDescent="0.25">
      <c r="A59" s="3" t="s">
        <v>830</v>
      </c>
      <c r="B59" s="3" t="s">
        <v>16</v>
      </c>
      <c r="C59" s="3">
        <v>64</v>
      </c>
      <c r="D59" s="4">
        <v>46218</v>
      </c>
      <c r="E59" s="3" t="s">
        <v>831</v>
      </c>
      <c r="F59" s="3" t="s">
        <v>914</v>
      </c>
      <c r="G59" s="3" t="s">
        <v>871</v>
      </c>
      <c r="H59" s="20">
        <v>81</v>
      </c>
      <c r="I59" s="3" t="s">
        <v>883</v>
      </c>
      <c r="J59" s="3" t="s">
        <v>502</v>
      </c>
    </row>
    <row r="60" spans="1:10" s="3" customFormat="1" x14ac:dyDescent="0.25">
      <c r="A60" s="3" t="s">
        <v>832</v>
      </c>
      <c r="B60" s="3" t="s">
        <v>16</v>
      </c>
      <c r="C60" s="3">
        <v>65</v>
      </c>
      <c r="D60" s="4">
        <v>46218</v>
      </c>
      <c r="E60" s="3" t="s">
        <v>831</v>
      </c>
      <c r="F60" s="3" t="s">
        <v>914</v>
      </c>
      <c r="G60" s="3" t="s">
        <v>871</v>
      </c>
      <c r="H60" s="20">
        <v>81</v>
      </c>
      <c r="I60" s="3" t="s">
        <v>883</v>
      </c>
      <c r="J60" s="3" t="s">
        <v>502</v>
      </c>
    </row>
    <row r="61" spans="1:10" s="3" customFormat="1" x14ac:dyDescent="0.25">
      <c r="A61" s="3" t="s">
        <v>594</v>
      </c>
      <c r="B61" s="3" t="s">
        <v>16</v>
      </c>
      <c r="C61" s="3">
        <v>66</v>
      </c>
      <c r="D61" s="4">
        <v>46218</v>
      </c>
      <c r="E61" s="3" t="s">
        <v>107</v>
      </c>
      <c r="F61" s="3" t="s">
        <v>915</v>
      </c>
      <c r="G61" s="3" t="s">
        <v>871</v>
      </c>
      <c r="H61" s="20">
        <v>127</v>
      </c>
      <c r="I61" s="3" t="s">
        <v>885</v>
      </c>
      <c r="J61" s="3" t="s">
        <v>502</v>
      </c>
    </row>
    <row r="62" spans="1:10" s="3" customFormat="1" x14ac:dyDescent="0.25">
      <c r="A62" s="3" t="s">
        <v>724</v>
      </c>
      <c r="B62" s="3" t="s">
        <v>16</v>
      </c>
      <c r="C62" s="3">
        <v>67</v>
      </c>
      <c r="D62" s="4">
        <v>46218</v>
      </c>
      <c r="E62" s="3" t="s">
        <v>291</v>
      </c>
      <c r="F62" s="3" t="s">
        <v>916</v>
      </c>
      <c r="G62" s="3" t="s">
        <v>871</v>
      </c>
      <c r="H62" s="20">
        <v>6750</v>
      </c>
      <c r="I62" s="3" t="s">
        <v>872</v>
      </c>
      <c r="J62" s="3" t="s">
        <v>502</v>
      </c>
    </row>
    <row r="63" spans="1:10" s="3" customFormat="1" x14ac:dyDescent="0.25">
      <c r="A63" s="3" t="s">
        <v>730</v>
      </c>
      <c r="B63" s="3" t="s">
        <v>16</v>
      </c>
      <c r="C63" s="3">
        <v>68</v>
      </c>
      <c r="D63" s="4">
        <v>46218</v>
      </c>
      <c r="E63" s="3" t="s">
        <v>298</v>
      </c>
      <c r="F63" s="3" t="s">
        <v>917</v>
      </c>
      <c r="G63" s="3" t="s">
        <v>871</v>
      </c>
      <c r="H63" s="20">
        <v>2500</v>
      </c>
      <c r="I63" s="3" t="s">
        <v>874</v>
      </c>
      <c r="J63" s="3" t="s">
        <v>502</v>
      </c>
    </row>
    <row r="64" spans="1:10" s="3" customFormat="1" x14ac:dyDescent="0.25">
      <c r="A64" s="3" t="s">
        <v>733</v>
      </c>
      <c r="B64" s="3" t="s">
        <v>16</v>
      </c>
      <c r="C64" s="3">
        <v>69</v>
      </c>
      <c r="D64" s="4">
        <v>46218</v>
      </c>
      <c r="E64" s="3" t="s">
        <v>298</v>
      </c>
      <c r="F64" s="3" t="s">
        <v>917</v>
      </c>
      <c r="G64" s="3" t="s">
        <v>871</v>
      </c>
      <c r="H64" s="20">
        <v>2250</v>
      </c>
      <c r="I64" s="3" t="s">
        <v>875</v>
      </c>
      <c r="J64" s="3" t="s">
        <v>502</v>
      </c>
    </row>
    <row r="65" spans="1:10" s="3" customFormat="1" x14ac:dyDescent="0.25">
      <c r="A65" s="3" t="s">
        <v>734</v>
      </c>
      <c r="B65" s="3" t="s">
        <v>16</v>
      </c>
      <c r="C65" s="3">
        <v>70</v>
      </c>
      <c r="D65" s="4">
        <v>46218</v>
      </c>
      <c r="E65" s="3" t="s">
        <v>298</v>
      </c>
      <c r="F65" s="3" t="s">
        <v>917</v>
      </c>
      <c r="G65" s="3" t="s">
        <v>871</v>
      </c>
      <c r="H65" s="20">
        <v>2000</v>
      </c>
      <c r="I65" s="3" t="s">
        <v>876</v>
      </c>
      <c r="J65" s="3" t="s">
        <v>502</v>
      </c>
    </row>
    <row r="66" spans="1:10" s="3" customFormat="1" x14ac:dyDescent="0.25">
      <c r="A66" s="3" t="s">
        <v>736</v>
      </c>
      <c r="B66" s="3" t="s">
        <v>16</v>
      </c>
      <c r="C66" s="3">
        <v>71</v>
      </c>
      <c r="D66" s="4">
        <v>46218</v>
      </c>
      <c r="E66" s="3" t="s">
        <v>305</v>
      </c>
      <c r="F66" s="3" t="s">
        <v>918</v>
      </c>
      <c r="G66" s="3" t="s">
        <v>871</v>
      </c>
      <c r="H66" s="20">
        <v>-300</v>
      </c>
      <c r="I66" s="3" t="s">
        <v>878</v>
      </c>
      <c r="J66" s="3" t="s">
        <v>502</v>
      </c>
    </row>
    <row r="67" spans="1:10" s="3" customFormat="1" x14ac:dyDescent="0.25">
      <c r="A67" s="3" t="s">
        <v>740</v>
      </c>
      <c r="B67" s="3" t="s">
        <v>16</v>
      </c>
      <c r="C67" s="3">
        <v>72</v>
      </c>
      <c r="D67" s="4">
        <v>46218</v>
      </c>
      <c r="E67" s="3" t="s">
        <v>311</v>
      </c>
      <c r="F67" s="3" t="s">
        <v>919</v>
      </c>
      <c r="G67" s="3" t="s">
        <v>871</v>
      </c>
      <c r="H67" s="20">
        <v>-123</v>
      </c>
      <c r="I67" s="3" t="s">
        <v>880</v>
      </c>
      <c r="J67" s="3" t="s">
        <v>502</v>
      </c>
    </row>
    <row r="68" spans="1:10" s="3" customFormat="1" x14ac:dyDescent="0.25">
      <c r="A68" s="3" t="s">
        <v>742</v>
      </c>
      <c r="B68" s="3" t="s">
        <v>16</v>
      </c>
      <c r="C68" s="3">
        <v>73</v>
      </c>
      <c r="D68" s="4">
        <v>46218</v>
      </c>
      <c r="E68" s="3" t="s">
        <v>311</v>
      </c>
      <c r="F68" s="3" t="s">
        <v>919</v>
      </c>
      <c r="G68" s="3" t="s">
        <v>871</v>
      </c>
      <c r="H68" s="20">
        <v>-177</v>
      </c>
      <c r="I68" s="3" t="s">
        <v>881</v>
      </c>
      <c r="J68" s="3" t="s">
        <v>502</v>
      </c>
    </row>
    <row r="69" spans="1:10" s="3" customFormat="1" x14ac:dyDescent="0.25">
      <c r="A69" s="3" t="s">
        <v>835</v>
      </c>
      <c r="B69" s="3" t="s">
        <v>16</v>
      </c>
      <c r="C69" s="3">
        <v>74</v>
      </c>
      <c r="D69" s="4">
        <v>46218</v>
      </c>
      <c r="E69" s="3" t="s">
        <v>836</v>
      </c>
      <c r="F69" s="3" t="s">
        <v>920</v>
      </c>
      <c r="G69" s="3" t="s">
        <v>871</v>
      </c>
      <c r="H69" s="20">
        <v>81</v>
      </c>
      <c r="I69" s="3" t="s">
        <v>883</v>
      </c>
      <c r="J69" s="3" t="s">
        <v>502</v>
      </c>
    </row>
    <row r="70" spans="1:10" s="3" customFormat="1" x14ac:dyDescent="0.25">
      <c r="A70" s="3" t="s">
        <v>837</v>
      </c>
      <c r="B70" s="3" t="s">
        <v>16</v>
      </c>
      <c r="C70" s="3">
        <v>75</v>
      </c>
      <c r="D70" s="4">
        <v>46218</v>
      </c>
      <c r="E70" s="3" t="s">
        <v>836</v>
      </c>
      <c r="F70" s="3" t="s">
        <v>920</v>
      </c>
      <c r="G70" s="3" t="s">
        <v>871</v>
      </c>
      <c r="H70" s="20">
        <v>81</v>
      </c>
      <c r="I70" s="3" t="s">
        <v>883</v>
      </c>
      <c r="J70" s="3" t="s">
        <v>502</v>
      </c>
    </row>
    <row r="71" spans="1:10" s="3" customFormat="1" x14ac:dyDescent="0.25">
      <c r="A71" s="3" t="s">
        <v>596</v>
      </c>
      <c r="B71" s="3" t="s">
        <v>16</v>
      </c>
      <c r="C71" s="3">
        <v>76</v>
      </c>
      <c r="D71" s="4">
        <v>46218</v>
      </c>
      <c r="E71" s="3" t="s">
        <v>111</v>
      </c>
      <c r="F71" s="3" t="s">
        <v>921</v>
      </c>
      <c r="G71" s="3" t="s">
        <v>871</v>
      </c>
      <c r="H71" s="20">
        <v>127</v>
      </c>
      <c r="I71" s="3" t="s">
        <v>885</v>
      </c>
      <c r="J71" s="3" t="s">
        <v>502</v>
      </c>
    </row>
    <row r="72" spans="1:10" s="3" customFormat="1" x14ac:dyDescent="0.25">
      <c r="A72" s="3" t="s">
        <v>744</v>
      </c>
      <c r="B72" s="3" t="s">
        <v>16</v>
      </c>
      <c r="C72" s="3">
        <v>77</v>
      </c>
      <c r="D72" s="4">
        <v>46218</v>
      </c>
      <c r="E72" s="3" t="s">
        <v>317</v>
      </c>
      <c r="F72" s="3" t="s">
        <v>922</v>
      </c>
      <c r="G72" s="3" t="s">
        <v>871</v>
      </c>
      <c r="H72" s="20">
        <v>6750</v>
      </c>
      <c r="I72" s="3" t="s">
        <v>872</v>
      </c>
      <c r="J72" s="3" t="s">
        <v>502</v>
      </c>
    </row>
    <row r="73" spans="1:10" s="3" customFormat="1" x14ac:dyDescent="0.25">
      <c r="A73" s="3" t="s">
        <v>750</v>
      </c>
      <c r="B73" s="3" t="s">
        <v>16</v>
      </c>
      <c r="C73" s="3">
        <v>78</v>
      </c>
      <c r="D73" s="4">
        <v>46218</v>
      </c>
      <c r="E73" s="3" t="s">
        <v>324</v>
      </c>
      <c r="F73" s="3" t="s">
        <v>923</v>
      </c>
      <c r="G73" s="3" t="s">
        <v>871</v>
      </c>
      <c r="H73" s="20">
        <v>2500</v>
      </c>
      <c r="I73" s="3" t="s">
        <v>874</v>
      </c>
      <c r="J73" s="3" t="s">
        <v>502</v>
      </c>
    </row>
    <row r="74" spans="1:10" s="3" customFormat="1" x14ac:dyDescent="0.25">
      <c r="A74" s="3" t="s">
        <v>753</v>
      </c>
      <c r="B74" s="3" t="s">
        <v>16</v>
      </c>
      <c r="C74" s="3">
        <v>79</v>
      </c>
      <c r="D74" s="4">
        <v>46218</v>
      </c>
      <c r="E74" s="3" t="s">
        <v>324</v>
      </c>
      <c r="F74" s="3" t="s">
        <v>923</v>
      </c>
      <c r="G74" s="3" t="s">
        <v>871</v>
      </c>
      <c r="H74" s="20">
        <v>2250</v>
      </c>
      <c r="I74" s="3" t="s">
        <v>875</v>
      </c>
      <c r="J74" s="3" t="s">
        <v>502</v>
      </c>
    </row>
    <row r="75" spans="1:10" s="3" customFormat="1" x14ac:dyDescent="0.25">
      <c r="A75" s="3" t="s">
        <v>754</v>
      </c>
      <c r="B75" s="3" t="s">
        <v>16</v>
      </c>
      <c r="C75" s="3">
        <v>80</v>
      </c>
      <c r="D75" s="4">
        <v>46218</v>
      </c>
      <c r="E75" s="3" t="s">
        <v>324</v>
      </c>
      <c r="F75" s="3" t="s">
        <v>923</v>
      </c>
      <c r="G75" s="3" t="s">
        <v>871</v>
      </c>
      <c r="H75" s="20">
        <v>2000</v>
      </c>
      <c r="I75" s="3" t="s">
        <v>876</v>
      </c>
      <c r="J75" s="3" t="s">
        <v>502</v>
      </c>
    </row>
    <row r="76" spans="1:10" s="3" customFormat="1" x14ac:dyDescent="0.25">
      <c r="A76" s="3" t="s">
        <v>756</v>
      </c>
      <c r="B76" s="3" t="s">
        <v>16</v>
      </c>
      <c r="C76" s="3">
        <v>81</v>
      </c>
      <c r="D76" s="4">
        <v>46218</v>
      </c>
      <c r="E76" s="3" t="s">
        <v>331</v>
      </c>
      <c r="F76" s="3" t="s">
        <v>924</v>
      </c>
      <c r="G76" s="3" t="s">
        <v>871</v>
      </c>
      <c r="H76" s="20">
        <v>-300</v>
      </c>
      <c r="I76" s="3" t="s">
        <v>878</v>
      </c>
      <c r="J76" s="3" t="s">
        <v>502</v>
      </c>
    </row>
    <row r="77" spans="1:10" s="3" customFormat="1" x14ac:dyDescent="0.25">
      <c r="A77" s="3" t="s">
        <v>760</v>
      </c>
      <c r="B77" s="3" t="s">
        <v>16</v>
      </c>
      <c r="C77" s="3">
        <v>82</v>
      </c>
      <c r="D77" s="4">
        <v>46218</v>
      </c>
      <c r="E77" s="3" t="s">
        <v>337</v>
      </c>
      <c r="F77" s="3" t="s">
        <v>925</v>
      </c>
      <c r="G77" s="3" t="s">
        <v>871</v>
      </c>
      <c r="H77" s="20">
        <v>-123</v>
      </c>
      <c r="I77" s="3" t="s">
        <v>880</v>
      </c>
      <c r="J77" s="3" t="s">
        <v>502</v>
      </c>
    </row>
    <row r="78" spans="1:10" s="3" customFormat="1" x14ac:dyDescent="0.25">
      <c r="A78" s="3" t="s">
        <v>762</v>
      </c>
      <c r="B78" s="3" t="s">
        <v>16</v>
      </c>
      <c r="C78" s="3">
        <v>83</v>
      </c>
      <c r="D78" s="4">
        <v>46218</v>
      </c>
      <c r="E78" s="3" t="s">
        <v>337</v>
      </c>
      <c r="F78" s="3" t="s">
        <v>925</v>
      </c>
      <c r="G78" s="3" t="s">
        <v>871</v>
      </c>
      <c r="H78" s="20">
        <v>-177</v>
      </c>
      <c r="I78" s="3" t="s">
        <v>881</v>
      </c>
      <c r="J78" s="3" t="s">
        <v>502</v>
      </c>
    </row>
    <row r="79" spans="1:10" s="3" customFormat="1" x14ac:dyDescent="0.25">
      <c r="A79" s="3" t="s">
        <v>840</v>
      </c>
      <c r="B79" s="3" t="s">
        <v>16</v>
      </c>
      <c r="C79" s="3">
        <v>84</v>
      </c>
      <c r="D79" s="4">
        <v>46218</v>
      </c>
      <c r="E79" s="3" t="s">
        <v>841</v>
      </c>
      <c r="F79" s="3" t="s">
        <v>926</v>
      </c>
      <c r="G79" s="3" t="s">
        <v>871</v>
      </c>
      <c r="H79" s="20">
        <v>81</v>
      </c>
      <c r="I79" s="3" t="s">
        <v>883</v>
      </c>
      <c r="J79" s="3" t="s">
        <v>502</v>
      </c>
    </row>
    <row r="80" spans="1:10" s="3" customFormat="1" x14ac:dyDescent="0.25">
      <c r="A80" s="3" t="s">
        <v>842</v>
      </c>
      <c r="B80" s="3" t="s">
        <v>16</v>
      </c>
      <c r="C80" s="3">
        <v>85</v>
      </c>
      <c r="D80" s="4">
        <v>46218</v>
      </c>
      <c r="E80" s="3" t="s">
        <v>841</v>
      </c>
      <c r="F80" s="3" t="s">
        <v>926</v>
      </c>
      <c r="G80" s="3" t="s">
        <v>871</v>
      </c>
      <c r="H80" s="20">
        <v>81</v>
      </c>
      <c r="I80" s="3" t="s">
        <v>883</v>
      </c>
      <c r="J80" s="3" t="s">
        <v>502</v>
      </c>
    </row>
    <row r="81" spans="1:10" s="3" customFormat="1" x14ac:dyDescent="0.25">
      <c r="A81" s="3" t="s">
        <v>598</v>
      </c>
      <c r="B81" s="3" t="s">
        <v>16</v>
      </c>
      <c r="C81" s="3">
        <v>86</v>
      </c>
      <c r="D81" s="4">
        <v>46218</v>
      </c>
      <c r="E81" s="3" t="s">
        <v>115</v>
      </c>
      <c r="F81" s="3" t="s">
        <v>927</v>
      </c>
      <c r="G81" s="3" t="s">
        <v>871</v>
      </c>
      <c r="H81" s="20">
        <v>127</v>
      </c>
      <c r="I81" s="3" t="s">
        <v>885</v>
      </c>
      <c r="J81" s="3" t="s">
        <v>502</v>
      </c>
    </row>
    <row r="82" spans="1:10" s="3" customFormat="1" x14ac:dyDescent="0.25">
      <c r="A82" s="3" t="s">
        <v>764</v>
      </c>
      <c r="B82" s="3" t="s">
        <v>16</v>
      </c>
      <c r="C82" s="3">
        <v>87</v>
      </c>
      <c r="D82" s="4">
        <v>46218</v>
      </c>
      <c r="E82" s="3" t="s">
        <v>343</v>
      </c>
      <c r="F82" s="3" t="s">
        <v>928</v>
      </c>
      <c r="G82" s="3" t="s">
        <v>871</v>
      </c>
      <c r="H82" s="20">
        <v>6750</v>
      </c>
      <c r="I82" s="3" t="s">
        <v>872</v>
      </c>
      <c r="J82" s="3" t="s">
        <v>502</v>
      </c>
    </row>
    <row r="83" spans="1:10" s="3" customFormat="1" x14ac:dyDescent="0.25">
      <c r="A83" s="3" t="s">
        <v>770</v>
      </c>
      <c r="B83" s="3" t="s">
        <v>16</v>
      </c>
      <c r="C83" s="3">
        <v>88</v>
      </c>
      <c r="D83" s="4">
        <v>46218</v>
      </c>
      <c r="E83" s="3" t="s">
        <v>350</v>
      </c>
      <c r="F83" s="3" t="s">
        <v>929</v>
      </c>
      <c r="G83" s="3" t="s">
        <v>871</v>
      </c>
      <c r="H83" s="20">
        <v>2500</v>
      </c>
      <c r="I83" s="3" t="s">
        <v>874</v>
      </c>
      <c r="J83" s="3" t="s">
        <v>502</v>
      </c>
    </row>
    <row r="84" spans="1:10" s="3" customFormat="1" x14ac:dyDescent="0.25">
      <c r="A84" s="3" t="s">
        <v>773</v>
      </c>
      <c r="B84" s="3" t="s">
        <v>16</v>
      </c>
      <c r="C84" s="3">
        <v>89</v>
      </c>
      <c r="D84" s="4">
        <v>46218</v>
      </c>
      <c r="E84" s="3" t="s">
        <v>350</v>
      </c>
      <c r="F84" s="3" t="s">
        <v>929</v>
      </c>
      <c r="G84" s="3" t="s">
        <v>871</v>
      </c>
      <c r="H84" s="20">
        <v>2250</v>
      </c>
      <c r="I84" s="3" t="s">
        <v>875</v>
      </c>
      <c r="J84" s="3" t="s">
        <v>502</v>
      </c>
    </row>
    <row r="85" spans="1:10" s="3" customFormat="1" x14ac:dyDescent="0.25">
      <c r="A85" s="3" t="s">
        <v>774</v>
      </c>
      <c r="B85" s="3" t="s">
        <v>16</v>
      </c>
      <c r="C85" s="3">
        <v>90</v>
      </c>
      <c r="D85" s="4">
        <v>46218</v>
      </c>
      <c r="E85" s="3" t="s">
        <v>350</v>
      </c>
      <c r="F85" s="3" t="s">
        <v>929</v>
      </c>
      <c r="G85" s="3" t="s">
        <v>871</v>
      </c>
      <c r="H85" s="20">
        <v>2000</v>
      </c>
      <c r="I85" s="3" t="s">
        <v>876</v>
      </c>
      <c r="J85" s="3" t="s">
        <v>502</v>
      </c>
    </row>
    <row r="86" spans="1:10" s="3" customFormat="1" x14ac:dyDescent="0.25">
      <c r="A86" s="3" t="s">
        <v>776</v>
      </c>
      <c r="B86" s="3" t="s">
        <v>16</v>
      </c>
      <c r="C86" s="3">
        <v>91</v>
      </c>
      <c r="D86" s="4">
        <v>46218</v>
      </c>
      <c r="E86" s="3" t="s">
        <v>357</v>
      </c>
      <c r="F86" s="3" t="s">
        <v>930</v>
      </c>
      <c r="G86" s="3" t="s">
        <v>871</v>
      </c>
      <c r="H86" s="20">
        <v>-300</v>
      </c>
      <c r="I86" s="3" t="s">
        <v>878</v>
      </c>
      <c r="J86" s="3" t="s">
        <v>502</v>
      </c>
    </row>
    <row r="87" spans="1:10" s="3" customFormat="1" x14ac:dyDescent="0.25">
      <c r="A87" s="3" t="s">
        <v>780</v>
      </c>
      <c r="B87" s="3" t="s">
        <v>16</v>
      </c>
      <c r="C87" s="3">
        <v>92</v>
      </c>
      <c r="D87" s="4">
        <v>46218</v>
      </c>
      <c r="E87" s="3" t="s">
        <v>363</v>
      </c>
      <c r="F87" s="3" t="s">
        <v>931</v>
      </c>
      <c r="G87" s="3" t="s">
        <v>871</v>
      </c>
      <c r="H87" s="20">
        <v>-123</v>
      </c>
      <c r="I87" s="3" t="s">
        <v>880</v>
      </c>
      <c r="J87" s="3" t="s">
        <v>502</v>
      </c>
    </row>
    <row r="88" spans="1:10" s="3" customFormat="1" x14ac:dyDescent="0.25">
      <c r="A88" s="3" t="s">
        <v>782</v>
      </c>
      <c r="B88" s="3" t="s">
        <v>16</v>
      </c>
      <c r="C88" s="3">
        <v>93</v>
      </c>
      <c r="D88" s="4">
        <v>46218</v>
      </c>
      <c r="E88" s="3" t="s">
        <v>363</v>
      </c>
      <c r="F88" s="3" t="s">
        <v>931</v>
      </c>
      <c r="G88" s="3" t="s">
        <v>871</v>
      </c>
      <c r="H88" s="20">
        <v>-177</v>
      </c>
      <c r="I88" s="3" t="s">
        <v>881</v>
      </c>
      <c r="J88" s="3" t="s">
        <v>502</v>
      </c>
    </row>
    <row r="89" spans="1:10" s="3" customFormat="1" x14ac:dyDescent="0.25">
      <c r="A89" s="3" t="s">
        <v>845</v>
      </c>
      <c r="B89" s="3" t="s">
        <v>16</v>
      </c>
      <c r="C89" s="3">
        <v>94</v>
      </c>
      <c r="D89" s="4">
        <v>46218</v>
      </c>
      <c r="E89" s="3" t="s">
        <v>846</v>
      </c>
      <c r="F89" s="3" t="s">
        <v>932</v>
      </c>
      <c r="G89" s="3" t="s">
        <v>871</v>
      </c>
      <c r="H89" s="20">
        <v>81</v>
      </c>
      <c r="I89" s="3" t="s">
        <v>883</v>
      </c>
      <c r="J89" s="3" t="s">
        <v>502</v>
      </c>
    </row>
    <row r="90" spans="1:10" s="3" customFormat="1" x14ac:dyDescent="0.25">
      <c r="A90" s="3" t="s">
        <v>847</v>
      </c>
      <c r="B90" s="3" t="s">
        <v>16</v>
      </c>
      <c r="C90" s="3">
        <v>95</v>
      </c>
      <c r="D90" s="4">
        <v>46218</v>
      </c>
      <c r="E90" s="3" t="s">
        <v>846</v>
      </c>
      <c r="F90" s="3" t="s">
        <v>932</v>
      </c>
      <c r="G90" s="3" t="s">
        <v>871</v>
      </c>
      <c r="H90" s="20">
        <v>81</v>
      </c>
      <c r="I90" s="3" t="s">
        <v>883</v>
      </c>
      <c r="J90" s="3" t="s">
        <v>502</v>
      </c>
    </row>
    <row r="91" spans="1:10" s="3" customFormat="1" x14ac:dyDescent="0.25">
      <c r="A91" s="3" t="s">
        <v>600</v>
      </c>
      <c r="B91" s="3" t="s">
        <v>16</v>
      </c>
      <c r="C91" s="3">
        <v>96</v>
      </c>
      <c r="D91" s="4">
        <v>46218</v>
      </c>
      <c r="E91" s="3" t="s">
        <v>119</v>
      </c>
      <c r="F91" s="3" t="s">
        <v>933</v>
      </c>
      <c r="G91" s="3" t="s">
        <v>871</v>
      </c>
      <c r="H91" s="20">
        <v>127</v>
      </c>
      <c r="I91" s="3" t="s">
        <v>885</v>
      </c>
      <c r="J91" s="3" t="s">
        <v>502</v>
      </c>
    </row>
    <row r="92" spans="1:10" s="3" customFormat="1" x14ac:dyDescent="0.25">
      <c r="A92" s="3" t="s">
        <v>784</v>
      </c>
      <c r="B92" s="3" t="s">
        <v>16</v>
      </c>
      <c r="C92" s="3">
        <v>97</v>
      </c>
      <c r="D92" s="4">
        <v>46218</v>
      </c>
      <c r="E92" s="3" t="s">
        <v>369</v>
      </c>
      <c r="F92" s="3" t="s">
        <v>934</v>
      </c>
      <c r="G92" s="3" t="s">
        <v>871</v>
      </c>
      <c r="H92" s="20">
        <v>6750</v>
      </c>
      <c r="I92" s="3" t="s">
        <v>872</v>
      </c>
      <c r="J92" s="3" t="s">
        <v>502</v>
      </c>
    </row>
    <row r="93" spans="1:10" s="3" customFormat="1" x14ac:dyDescent="0.25">
      <c r="A93" s="3" t="s">
        <v>790</v>
      </c>
      <c r="B93" s="3" t="s">
        <v>16</v>
      </c>
      <c r="C93" s="3">
        <v>98</v>
      </c>
      <c r="D93" s="4">
        <v>46218</v>
      </c>
      <c r="E93" s="3" t="s">
        <v>376</v>
      </c>
      <c r="F93" s="3" t="s">
        <v>935</v>
      </c>
      <c r="G93" s="3" t="s">
        <v>871</v>
      </c>
      <c r="H93" s="20">
        <v>2500</v>
      </c>
      <c r="I93" s="3" t="s">
        <v>874</v>
      </c>
      <c r="J93" s="3" t="s">
        <v>502</v>
      </c>
    </row>
    <row r="94" spans="1:10" s="3" customFormat="1" x14ac:dyDescent="0.25">
      <c r="A94" s="3" t="s">
        <v>793</v>
      </c>
      <c r="B94" s="3" t="s">
        <v>16</v>
      </c>
      <c r="C94" s="3">
        <v>99</v>
      </c>
      <c r="D94" s="4">
        <v>46218</v>
      </c>
      <c r="E94" s="3" t="s">
        <v>376</v>
      </c>
      <c r="F94" s="3" t="s">
        <v>935</v>
      </c>
      <c r="G94" s="3" t="s">
        <v>871</v>
      </c>
      <c r="H94" s="20">
        <v>2250</v>
      </c>
      <c r="I94" s="3" t="s">
        <v>875</v>
      </c>
      <c r="J94" s="3" t="s">
        <v>502</v>
      </c>
    </row>
    <row r="95" spans="1:10" s="3" customFormat="1" x14ac:dyDescent="0.25">
      <c r="A95" s="3" t="s">
        <v>794</v>
      </c>
      <c r="B95" s="3" t="s">
        <v>16</v>
      </c>
      <c r="C95" s="3">
        <v>100</v>
      </c>
      <c r="D95" s="4">
        <v>46218</v>
      </c>
      <c r="E95" s="3" t="s">
        <v>376</v>
      </c>
      <c r="F95" s="3" t="s">
        <v>935</v>
      </c>
      <c r="G95" s="3" t="s">
        <v>871</v>
      </c>
      <c r="H95" s="20">
        <v>2000</v>
      </c>
      <c r="I95" s="3" t="s">
        <v>876</v>
      </c>
      <c r="J95" s="3" t="s">
        <v>502</v>
      </c>
    </row>
    <row r="96" spans="1:10" s="3" customFormat="1" x14ac:dyDescent="0.25">
      <c r="A96" s="3" t="s">
        <v>796</v>
      </c>
      <c r="B96" s="3" t="s">
        <v>16</v>
      </c>
      <c r="C96" s="3">
        <v>101</v>
      </c>
      <c r="D96" s="4">
        <v>46218</v>
      </c>
      <c r="E96" s="3" t="s">
        <v>383</v>
      </c>
      <c r="F96" s="3" t="s">
        <v>936</v>
      </c>
      <c r="G96" s="3" t="s">
        <v>871</v>
      </c>
      <c r="H96" s="20">
        <v>-300</v>
      </c>
      <c r="I96" s="3" t="s">
        <v>878</v>
      </c>
      <c r="J96" s="3" t="s">
        <v>502</v>
      </c>
    </row>
    <row r="97" spans="1:10" s="3" customFormat="1" x14ac:dyDescent="0.25">
      <c r="A97" s="3" t="s">
        <v>800</v>
      </c>
      <c r="B97" s="3" t="s">
        <v>16</v>
      </c>
      <c r="C97" s="3">
        <v>102</v>
      </c>
      <c r="D97" s="4">
        <v>46218</v>
      </c>
      <c r="E97" s="3" t="s">
        <v>389</v>
      </c>
      <c r="F97" s="3" t="s">
        <v>937</v>
      </c>
      <c r="G97" s="3" t="s">
        <v>871</v>
      </c>
      <c r="H97" s="20">
        <v>-123</v>
      </c>
      <c r="I97" s="3" t="s">
        <v>880</v>
      </c>
      <c r="J97" s="3" t="s">
        <v>502</v>
      </c>
    </row>
    <row r="98" spans="1:10" s="3" customFormat="1" x14ac:dyDescent="0.25">
      <c r="A98" s="3" t="s">
        <v>802</v>
      </c>
      <c r="B98" s="3" t="s">
        <v>16</v>
      </c>
      <c r="C98" s="3">
        <v>103</v>
      </c>
      <c r="D98" s="4">
        <v>46218</v>
      </c>
      <c r="E98" s="3" t="s">
        <v>389</v>
      </c>
      <c r="F98" s="3" t="s">
        <v>937</v>
      </c>
      <c r="G98" s="3" t="s">
        <v>871</v>
      </c>
      <c r="H98" s="20">
        <v>-177</v>
      </c>
      <c r="I98" s="3" t="s">
        <v>881</v>
      </c>
      <c r="J98" s="3" t="s">
        <v>502</v>
      </c>
    </row>
    <row r="99" spans="1:10" s="3" customFormat="1" x14ac:dyDescent="0.25">
      <c r="A99" s="3" t="s">
        <v>850</v>
      </c>
      <c r="B99" s="3" t="s">
        <v>16</v>
      </c>
      <c r="C99" s="3">
        <v>104</v>
      </c>
      <c r="D99" s="4">
        <v>46218</v>
      </c>
      <c r="E99" s="3" t="s">
        <v>851</v>
      </c>
      <c r="F99" s="3" t="s">
        <v>938</v>
      </c>
      <c r="G99" s="3" t="s">
        <v>871</v>
      </c>
      <c r="H99" s="20">
        <v>81</v>
      </c>
      <c r="I99" s="3" t="s">
        <v>883</v>
      </c>
      <c r="J99" s="3" t="s">
        <v>502</v>
      </c>
    </row>
    <row r="100" spans="1:10" s="3" customFormat="1" x14ac:dyDescent="0.25">
      <c r="A100" s="3" t="s">
        <v>852</v>
      </c>
      <c r="B100" s="3" t="s">
        <v>16</v>
      </c>
      <c r="C100" s="3">
        <v>105</v>
      </c>
      <c r="D100" s="4">
        <v>46218</v>
      </c>
      <c r="E100" s="3" t="s">
        <v>851</v>
      </c>
      <c r="F100" s="3" t="s">
        <v>938</v>
      </c>
      <c r="G100" s="3" t="s">
        <v>871</v>
      </c>
      <c r="H100" s="20">
        <v>81</v>
      </c>
      <c r="I100" s="3" t="s">
        <v>883</v>
      </c>
      <c r="J100" s="3" t="s">
        <v>502</v>
      </c>
    </row>
    <row r="101" spans="1:10" s="3" customFormat="1" x14ac:dyDescent="0.25">
      <c r="A101" s="3" t="s">
        <v>602</v>
      </c>
      <c r="B101" s="3" t="s">
        <v>16</v>
      </c>
      <c r="C101" s="3">
        <v>106</v>
      </c>
      <c r="D101" s="4">
        <v>46218</v>
      </c>
      <c r="E101" s="3" t="s">
        <v>123</v>
      </c>
      <c r="F101" s="3" t="s">
        <v>939</v>
      </c>
      <c r="G101" s="3" t="s">
        <v>871</v>
      </c>
      <c r="H101" s="20">
        <v>127</v>
      </c>
      <c r="I101" s="3" t="s">
        <v>885</v>
      </c>
      <c r="J101" s="3" t="s">
        <v>502</v>
      </c>
    </row>
  </sheetData>
  <autoFilter ref="A1:J101"/>
  <pageMargins left="0.7" right="0.7" top="0.75" bottom="0.75" header="0.3" footer="0.3"/>
  <pageSetup orientation="landscape" horizontalDpi="4294967295" verticalDpi="4294967295" scale="100"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01"/>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45" customWidth="1"/>
    <col min="5" max="6" width="17" customWidth="1"/>
    <col min="7" max="7" width="28" customWidth="1"/>
    <col min="8" max="8" width="17" style="7" customWidth="1"/>
    <col min="9" max="9" width="17" customWidth="1"/>
    <col min="10" max="10" width="20" customWidth="1"/>
  </cols>
  <sheetData>
    <row r="1" ht="28" customHeight="1" spans="1:10" s="22" customFormat="1" x14ac:dyDescent="0.25">
      <c r="A1" s="22" t="s">
        <v>860</v>
      </c>
      <c r="B1" s="22" t="s">
        <v>861</v>
      </c>
      <c r="C1" s="22" t="s">
        <v>862</v>
      </c>
      <c r="D1" s="22" t="s">
        <v>863</v>
      </c>
      <c r="E1" s="22" t="s">
        <v>864</v>
      </c>
      <c r="F1" s="22" t="s">
        <v>865</v>
      </c>
      <c r="G1" s="22" t="s">
        <v>866</v>
      </c>
      <c r="H1" s="23" t="s">
        <v>867</v>
      </c>
      <c r="I1" s="22" t="s">
        <v>868</v>
      </c>
      <c r="J1" s="22" t="s">
        <v>869</v>
      </c>
    </row>
    <row r="2" spans="1:10" s="3" customFormat="1" x14ac:dyDescent="0.25">
      <c r="A2" s="3" t="s">
        <v>607</v>
      </c>
      <c r="B2" s="3" t="s">
        <v>16</v>
      </c>
      <c r="C2" s="3">
        <v>7</v>
      </c>
      <c r="D2" s="4">
        <v>46218</v>
      </c>
      <c r="E2" s="3" t="s">
        <v>128</v>
      </c>
      <c r="F2" s="3" t="s">
        <v>870</v>
      </c>
      <c r="G2" s="3" t="s">
        <v>871</v>
      </c>
      <c r="H2" s="20">
        <v>2500</v>
      </c>
      <c r="I2" s="3" t="s">
        <v>874</v>
      </c>
      <c r="J2" s="3" t="s">
        <v>502</v>
      </c>
    </row>
    <row r="3" spans="1:10" s="3" customFormat="1" x14ac:dyDescent="0.25">
      <c r="A3" s="3" t="s">
        <v>608</v>
      </c>
      <c r="B3" s="3" t="s">
        <v>16</v>
      </c>
      <c r="C3" s="3">
        <v>8</v>
      </c>
      <c r="D3" s="4">
        <v>46218</v>
      </c>
      <c r="E3" s="3" t="s">
        <v>128</v>
      </c>
      <c r="F3" s="3" t="s">
        <v>870</v>
      </c>
      <c r="G3" s="3" t="s">
        <v>871</v>
      </c>
      <c r="H3" s="20">
        <v>2250</v>
      </c>
      <c r="I3" s="3" t="s">
        <v>875</v>
      </c>
      <c r="J3" s="3" t="s">
        <v>502</v>
      </c>
    </row>
    <row r="4" spans="1:10" s="3" customFormat="1" x14ac:dyDescent="0.25">
      <c r="A4" s="3" t="s">
        <v>609</v>
      </c>
      <c r="B4" s="3" t="s">
        <v>16</v>
      </c>
      <c r="C4" s="3">
        <v>9</v>
      </c>
      <c r="D4" s="4">
        <v>46218</v>
      </c>
      <c r="E4" s="3" t="s">
        <v>128</v>
      </c>
      <c r="F4" s="3" t="s">
        <v>870</v>
      </c>
      <c r="G4" s="3" t="s">
        <v>871</v>
      </c>
      <c r="H4" s="20">
        <v>2000</v>
      </c>
      <c r="I4" s="3" t="s">
        <v>876</v>
      </c>
      <c r="J4" s="3" t="s">
        <v>502</v>
      </c>
    </row>
    <row r="5" spans="1:10" s="3" customFormat="1" x14ac:dyDescent="0.25">
      <c r="A5" s="3" t="s">
        <v>615</v>
      </c>
      <c r="B5" s="3" t="s">
        <v>16</v>
      </c>
      <c r="C5" s="3">
        <v>10</v>
      </c>
      <c r="D5" s="4">
        <v>46218</v>
      </c>
      <c r="E5" s="3" t="s">
        <v>138</v>
      </c>
      <c r="F5" s="3" t="s">
        <v>873</v>
      </c>
      <c r="G5" s="3" t="s">
        <v>871</v>
      </c>
      <c r="H5" s="20">
        <v>6750</v>
      </c>
      <c r="I5" s="3" t="s">
        <v>872</v>
      </c>
      <c r="J5" s="3" t="s">
        <v>502</v>
      </c>
    </row>
    <row r="6" spans="1:10" s="3" customFormat="1" x14ac:dyDescent="0.25">
      <c r="A6" s="3" t="s">
        <v>618</v>
      </c>
      <c r="B6" s="3" t="s">
        <v>16</v>
      </c>
      <c r="C6" s="3">
        <v>11</v>
      </c>
      <c r="D6" s="4">
        <v>46218</v>
      </c>
      <c r="E6" s="3" t="s">
        <v>146</v>
      </c>
      <c r="F6" s="3" t="s">
        <v>877</v>
      </c>
      <c r="G6" s="3" t="s">
        <v>871</v>
      </c>
      <c r="H6" s="20">
        <v>-123</v>
      </c>
      <c r="I6" s="3" t="s">
        <v>880</v>
      </c>
      <c r="J6" s="3" t="s">
        <v>502</v>
      </c>
    </row>
    <row r="7" spans="1:10" s="3" customFormat="1" x14ac:dyDescent="0.25">
      <c r="A7" s="3" t="s">
        <v>619</v>
      </c>
      <c r="B7" s="3" t="s">
        <v>16</v>
      </c>
      <c r="C7" s="3">
        <v>12</v>
      </c>
      <c r="D7" s="4">
        <v>46218</v>
      </c>
      <c r="E7" s="3" t="s">
        <v>146</v>
      </c>
      <c r="F7" s="3" t="s">
        <v>877</v>
      </c>
      <c r="G7" s="3" t="s">
        <v>871</v>
      </c>
      <c r="H7" s="20">
        <v>-177</v>
      </c>
      <c r="I7" s="3" t="s">
        <v>881</v>
      </c>
      <c r="J7" s="3" t="s">
        <v>502</v>
      </c>
    </row>
    <row r="8" spans="1:10" s="3" customFormat="1" x14ac:dyDescent="0.25">
      <c r="A8" s="3" t="s">
        <v>623</v>
      </c>
      <c r="B8" s="3" t="s">
        <v>16</v>
      </c>
      <c r="C8" s="3">
        <v>13</v>
      </c>
      <c r="D8" s="4">
        <v>46218</v>
      </c>
      <c r="E8" s="3" t="s">
        <v>154</v>
      </c>
      <c r="F8" s="3" t="s">
        <v>879</v>
      </c>
      <c r="G8" s="3" t="s">
        <v>871</v>
      </c>
      <c r="H8" s="20">
        <v>-300</v>
      </c>
      <c r="I8" s="3" t="s">
        <v>878</v>
      </c>
      <c r="J8" s="3" t="s">
        <v>502</v>
      </c>
    </row>
    <row r="9" spans="1:10" s="3" customFormat="1" x14ac:dyDescent="0.25">
      <c r="A9" s="3" t="s">
        <v>808</v>
      </c>
      <c r="B9" s="3" t="s">
        <v>16</v>
      </c>
      <c r="C9" s="3">
        <v>14</v>
      </c>
      <c r="D9" s="4">
        <v>46218</v>
      </c>
      <c r="E9" s="3" t="s">
        <v>806</v>
      </c>
      <c r="F9" s="3" t="s">
        <v>882</v>
      </c>
      <c r="G9" s="3" t="s">
        <v>871</v>
      </c>
      <c r="H9" s="20">
        <v>81</v>
      </c>
      <c r="I9" s="3" t="s">
        <v>883</v>
      </c>
      <c r="J9" s="3" t="s">
        <v>502</v>
      </c>
    </row>
    <row r="10" spans="1:10" s="3" customFormat="1" x14ac:dyDescent="0.25">
      <c r="A10" s="3" t="s">
        <v>809</v>
      </c>
      <c r="B10" s="3" t="s">
        <v>16</v>
      </c>
      <c r="C10" s="3">
        <v>15</v>
      </c>
      <c r="D10" s="4">
        <v>46218</v>
      </c>
      <c r="E10" s="3" t="s">
        <v>806</v>
      </c>
      <c r="F10" s="3" t="s">
        <v>882</v>
      </c>
      <c r="G10" s="3" t="s">
        <v>871</v>
      </c>
      <c r="H10" s="20">
        <v>81</v>
      </c>
      <c r="I10" s="3" t="s">
        <v>883</v>
      </c>
      <c r="J10" s="3" t="s">
        <v>502</v>
      </c>
    </row>
    <row r="11" spans="1:10" s="3" customFormat="1" x14ac:dyDescent="0.25">
      <c r="A11" s="3" t="s">
        <v>585</v>
      </c>
      <c r="B11" s="3" t="s">
        <v>16</v>
      </c>
      <c r="C11" s="3">
        <v>16</v>
      </c>
      <c r="D11" s="4">
        <v>46218</v>
      </c>
      <c r="E11" s="3" t="s">
        <v>82</v>
      </c>
      <c r="F11" s="3" t="s">
        <v>884</v>
      </c>
      <c r="G11" s="3" t="s">
        <v>871</v>
      </c>
      <c r="H11" s="20">
        <v>127</v>
      </c>
      <c r="I11" s="3" t="s">
        <v>885</v>
      </c>
      <c r="J11" s="3" t="s">
        <v>502</v>
      </c>
    </row>
    <row r="12" spans="1:10" s="3" customFormat="1" x14ac:dyDescent="0.25">
      <c r="A12" s="3" t="s">
        <v>627</v>
      </c>
      <c r="B12" s="3" t="s">
        <v>16</v>
      </c>
      <c r="C12" s="3">
        <v>17</v>
      </c>
      <c r="D12" s="4">
        <v>46218</v>
      </c>
      <c r="E12" s="3" t="s">
        <v>161</v>
      </c>
      <c r="F12" s="3" t="s">
        <v>886</v>
      </c>
      <c r="G12" s="3" t="s">
        <v>871</v>
      </c>
      <c r="H12" s="20">
        <v>2500</v>
      </c>
      <c r="I12" s="3" t="s">
        <v>874</v>
      </c>
      <c r="J12" s="3" t="s">
        <v>502</v>
      </c>
    </row>
    <row r="13" spans="1:10" s="3" customFormat="1" x14ac:dyDescent="0.25">
      <c r="A13" s="3" t="s">
        <v>628</v>
      </c>
      <c r="B13" s="3" t="s">
        <v>16</v>
      </c>
      <c r="C13" s="3">
        <v>18</v>
      </c>
      <c r="D13" s="4">
        <v>46218</v>
      </c>
      <c r="E13" s="3" t="s">
        <v>161</v>
      </c>
      <c r="F13" s="3" t="s">
        <v>886</v>
      </c>
      <c r="G13" s="3" t="s">
        <v>871</v>
      </c>
      <c r="H13" s="20">
        <v>2250</v>
      </c>
      <c r="I13" s="3" t="s">
        <v>875</v>
      </c>
      <c r="J13" s="3" t="s">
        <v>502</v>
      </c>
    </row>
    <row r="14" spans="1:10" s="3" customFormat="1" x14ac:dyDescent="0.25">
      <c r="A14" s="3" t="s">
        <v>629</v>
      </c>
      <c r="B14" s="3" t="s">
        <v>16</v>
      </c>
      <c r="C14" s="3">
        <v>19</v>
      </c>
      <c r="D14" s="4">
        <v>46218</v>
      </c>
      <c r="E14" s="3" t="s">
        <v>161</v>
      </c>
      <c r="F14" s="3" t="s">
        <v>886</v>
      </c>
      <c r="G14" s="3" t="s">
        <v>871</v>
      </c>
      <c r="H14" s="20">
        <v>2000</v>
      </c>
      <c r="I14" s="3" t="s">
        <v>876</v>
      </c>
      <c r="J14" s="3" t="s">
        <v>502</v>
      </c>
    </row>
    <row r="15" spans="1:10" s="3" customFormat="1" x14ac:dyDescent="0.25">
      <c r="A15" s="3" t="s">
        <v>635</v>
      </c>
      <c r="B15" s="3" t="s">
        <v>16</v>
      </c>
      <c r="C15" s="3">
        <v>20</v>
      </c>
      <c r="D15" s="4">
        <v>46218</v>
      </c>
      <c r="E15" s="3" t="s">
        <v>168</v>
      </c>
      <c r="F15" s="3" t="s">
        <v>887</v>
      </c>
      <c r="G15" s="3" t="s">
        <v>871</v>
      </c>
      <c r="H15" s="20">
        <v>6750</v>
      </c>
      <c r="I15" s="3" t="s">
        <v>872</v>
      </c>
      <c r="J15" s="3" t="s">
        <v>502</v>
      </c>
    </row>
    <row r="16" spans="1:10" s="3" customFormat="1" x14ac:dyDescent="0.25">
      <c r="A16" s="3" t="s">
        <v>638</v>
      </c>
      <c r="B16" s="3" t="s">
        <v>16</v>
      </c>
      <c r="C16" s="3">
        <v>21</v>
      </c>
      <c r="D16" s="4">
        <v>46218</v>
      </c>
      <c r="E16" s="3" t="s">
        <v>175</v>
      </c>
      <c r="F16" s="3" t="s">
        <v>888</v>
      </c>
      <c r="G16" s="3" t="s">
        <v>871</v>
      </c>
      <c r="H16" s="20">
        <v>-123</v>
      </c>
      <c r="I16" s="3" t="s">
        <v>880</v>
      </c>
      <c r="J16" s="3" t="s">
        <v>502</v>
      </c>
    </row>
    <row r="17" spans="1:10" s="3" customFormat="1" x14ac:dyDescent="0.25">
      <c r="A17" s="3" t="s">
        <v>639</v>
      </c>
      <c r="B17" s="3" t="s">
        <v>16</v>
      </c>
      <c r="C17" s="3">
        <v>22</v>
      </c>
      <c r="D17" s="4">
        <v>46218</v>
      </c>
      <c r="E17" s="3" t="s">
        <v>175</v>
      </c>
      <c r="F17" s="3" t="s">
        <v>888</v>
      </c>
      <c r="G17" s="3" t="s">
        <v>871</v>
      </c>
      <c r="H17" s="20">
        <v>-177</v>
      </c>
      <c r="I17" s="3" t="s">
        <v>881</v>
      </c>
      <c r="J17" s="3" t="s">
        <v>502</v>
      </c>
    </row>
    <row r="18" spans="1:10" s="3" customFormat="1" x14ac:dyDescent="0.25">
      <c r="A18" s="3" t="s">
        <v>643</v>
      </c>
      <c r="B18" s="3" t="s">
        <v>16</v>
      </c>
      <c r="C18" s="3">
        <v>23</v>
      </c>
      <c r="D18" s="4">
        <v>46218</v>
      </c>
      <c r="E18" s="3" t="s">
        <v>181</v>
      </c>
      <c r="F18" s="3" t="s">
        <v>889</v>
      </c>
      <c r="G18" s="3" t="s">
        <v>871</v>
      </c>
      <c r="H18" s="20">
        <v>-300</v>
      </c>
      <c r="I18" s="3" t="s">
        <v>878</v>
      </c>
      <c r="J18" s="3" t="s">
        <v>502</v>
      </c>
    </row>
    <row r="19" spans="1:10" s="3" customFormat="1" x14ac:dyDescent="0.25">
      <c r="A19" s="3" t="s">
        <v>813</v>
      </c>
      <c r="B19" s="3" t="s">
        <v>16</v>
      </c>
      <c r="C19" s="3">
        <v>24</v>
      </c>
      <c r="D19" s="4">
        <v>46218</v>
      </c>
      <c r="E19" s="3" t="s">
        <v>811</v>
      </c>
      <c r="F19" s="3" t="s">
        <v>890</v>
      </c>
      <c r="G19" s="3" t="s">
        <v>871</v>
      </c>
      <c r="H19" s="20">
        <v>81</v>
      </c>
      <c r="I19" s="3" t="s">
        <v>883</v>
      </c>
      <c r="J19" s="3" t="s">
        <v>502</v>
      </c>
    </row>
    <row r="20" spans="1:10" s="3" customFormat="1" x14ac:dyDescent="0.25">
      <c r="A20" s="3" t="s">
        <v>814</v>
      </c>
      <c r="B20" s="3" t="s">
        <v>16</v>
      </c>
      <c r="C20" s="3">
        <v>25</v>
      </c>
      <c r="D20" s="4">
        <v>46218</v>
      </c>
      <c r="E20" s="3" t="s">
        <v>811</v>
      </c>
      <c r="F20" s="3" t="s">
        <v>890</v>
      </c>
      <c r="G20" s="3" t="s">
        <v>871</v>
      </c>
      <c r="H20" s="20">
        <v>81</v>
      </c>
      <c r="I20" s="3" t="s">
        <v>883</v>
      </c>
      <c r="J20" s="3" t="s">
        <v>502</v>
      </c>
    </row>
    <row r="21" spans="1:10" s="3" customFormat="1" x14ac:dyDescent="0.25">
      <c r="A21" s="3" t="s">
        <v>587</v>
      </c>
      <c r="B21" s="3" t="s">
        <v>16</v>
      </c>
      <c r="C21" s="3">
        <v>26</v>
      </c>
      <c r="D21" s="4">
        <v>46218</v>
      </c>
      <c r="E21" s="3" t="s">
        <v>91</v>
      </c>
      <c r="F21" s="3" t="s">
        <v>891</v>
      </c>
      <c r="G21" s="3" t="s">
        <v>871</v>
      </c>
      <c r="H21" s="20">
        <v>127</v>
      </c>
      <c r="I21" s="3" t="s">
        <v>885</v>
      </c>
      <c r="J21" s="3" t="s">
        <v>502</v>
      </c>
    </row>
    <row r="22" spans="1:10" s="3" customFormat="1" x14ac:dyDescent="0.25">
      <c r="A22" s="3" t="s">
        <v>647</v>
      </c>
      <c r="B22" s="3" t="s">
        <v>16</v>
      </c>
      <c r="C22" s="3">
        <v>27</v>
      </c>
      <c r="D22" s="4">
        <v>46218</v>
      </c>
      <c r="E22" s="3" t="s">
        <v>187</v>
      </c>
      <c r="F22" s="3" t="s">
        <v>892</v>
      </c>
      <c r="G22" s="3" t="s">
        <v>871</v>
      </c>
      <c r="H22" s="20">
        <v>2500</v>
      </c>
      <c r="I22" s="3" t="s">
        <v>874</v>
      </c>
      <c r="J22" s="3" t="s">
        <v>502</v>
      </c>
    </row>
    <row r="23" spans="1:10" s="3" customFormat="1" x14ac:dyDescent="0.25">
      <c r="A23" s="3" t="s">
        <v>648</v>
      </c>
      <c r="B23" s="3" t="s">
        <v>16</v>
      </c>
      <c r="C23" s="3">
        <v>28</v>
      </c>
      <c r="D23" s="4">
        <v>46218</v>
      </c>
      <c r="E23" s="3" t="s">
        <v>187</v>
      </c>
      <c r="F23" s="3" t="s">
        <v>892</v>
      </c>
      <c r="G23" s="3" t="s">
        <v>871</v>
      </c>
      <c r="H23" s="20">
        <v>2250</v>
      </c>
      <c r="I23" s="3" t="s">
        <v>875</v>
      </c>
      <c r="J23" s="3" t="s">
        <v>502</v>
      </c>
    </row>
    <row r="24" spans="1:10" s="3" customFormat="1" x14ac:dyDescent="0.25">
      <c r="A24" s="3" t="s">
        <v>649</v>
      </c>
      <c r="B24" s="3" t="s">
        <v>16</v>
      </c>
      <c r="C24" s="3">
        <v>29</v>
      </c>
      <c r="D24" s="4">
        <v>46218</v>
      </c>
      <c r="E24" s="3" t="s">
        <v>187</v>
      </c>
      <c r="F24" s="3" t="s">
        <v>892</v>
      </c>
      <c r="G24" s="3" t="s">
        <v>871</v>
      </c>
      <c r="H24" s="20">
        <v>2000</v>
      </c>
      <c r="I24" s="3" t="s">
        <v>876</v>
      </c>
      <c r="J24" s="3" t="s">
        <v>502</v>
      </c>
    </row>
    <row r="25" spans="1:10" s="3" customFormat="1" x14ac:dyDescent="0.25">
      <c r="A25" s="3" t="s">
        <v>655</v>
      </c>
      <c r="B25" s="3" t="s">
        <v>16</v>
      </c>
      <c r="C25" s="3">
        <v>30</v>
      </c>
      <c r="D25" s="4">
        <v>46218</v>
      </c>
      <c r="E25" s="3" t="s">
        <v>194</v>
      </c>
      <c r="F25" s="3" t="s">
        <v>893</v>
      </c>
      <c r="G25" s="3" t="s">
        <v>871</v>
      </c>
      <c r="H25" s="20">
        <v>6750</v>
      </c>
      <c r="I25" s="3" t="s">
        <v>872</v>
      </c>
      <c r="J25" s="3" t="s">
        <v>502</v>
      </c>
    </row>
    <row r="26" spans="1:10" s="3" customFormat="1" x14ac:dyDescent="0.25">
      <c r="A26" s="3" t="s">
        <v>658</v>
      </c>
      <c r="B26" s="3" t="s">
        <v>16</v>
      </c>
      <c r="C26" s="3">
        <v>31</v>
      </c>
      <c r="D26" s="4">
        <v>46218</v>
      </c>
      <c r="E26" s="3" t="s">
        <v>201</v>
      </c>
      <c r="F26" s="3" t="s">
        <v>894</v>
      </c>
      <c r="G26" s="3" t="s">
        <v>871</v>
      </c>
      <c r="H26" s="20">
        <v>-123</v>
      </c>
      <c r="I26" s="3" t="s">
        <v>880</v>
      </c>
      <c r="J26" s="3" t="s">
        <v>502</v>
      </c>
    </row>
    <row r="27" spans="1:10" s="3" customFormat="1" x14ac:dyDescent="0.25">
      <c r="A27" s="3" t="s">
        <v>659</v>
      </c>
      <c r="B27" s="3" t="s">
        <v>16</v>
      </c>
      <c r="C27" s="3">
        <v>32</v>
      </c>
      <c r="D27" s="4">
        <v>46218</v>
      </c>
      <c r="E27" s="3" t="s">
        <v>201</v>
      </c>
      <c r="F27" s="3" t="s">
        <v>894</v>
      </c>
      <c r="G27" s="3" t="s">
        <v>871</v>
      </c>
      <c r="H27" s="20">
        <v>-177</v>
      </c>
      <c r="I27" s="3" t="s">
        <v>881</v>
      </c>
      <c r="J27" s="3" t="s">
        <v>502</v>
      </c>
    </row>
    <row r="28" spans="1:10" s="3" customFormat="1" x14ac:dyDescent="0.25">
      <c r="A28" s="3" t="s">
        <v>663</v>
      </c>
      <c r="B28" s="3" t="s">
        <v>16</v>
      </c>
      <c r="C28" s="3">
        <v>33</v>
      </c>
      <c r="D28" s="4">
        <v>46218</v>
      </c>
      <c r="E28" s="3" t="s">
        <v>207</v>
      </c>
      <c r="F28" s="3" t="s">
        <v>895</v>
      </c>
      <c r="G28" s="3" t="s">
        <v>871</v>
      </c>
      <c r="H28" s="20">
        <v>-300</v>
      </c>
      <c r="I28" s="3" t="s">
        <v>878</v>
      </c>
      <c r="J28" s="3" t="s">
        <v>502</v>
      </c>
    </row>
    <row r="29" spans="1:10" s="3" customFormat="1" x14ac:dyDescent="0.25">
      <c r="A29" s="3" t="s">
        <v>818</v>
      </c>
      <c r="B29" s="3" t="s">
        <v>16</v>
      </c>
      <c r="C29" s="3">
        <v>34</v>
      </c>
      <c r="D29" s="4">
        <v>46218</v>
      </c>
      <c r="E29" s="3" t="s">
        <v>816</v>
      </c>
      <c r="F29" s="3" t="s">
        <v>896</v>
      </c>
      <c r="G29" s="3" t="s">
        <v>871</v>
      </c>
      <c r="H29" s="20">
        <v>81</v>
      </c>
      <c r="I29" s="3" t="s">
        <v>883</v>
      </c>
      <c r="J29" s="3" t="s">
        <v>502</v>
      </c>
    </row>
    <row r="30" spans="1:10" s="3" customFormat="1" x14ac:dyDescent="0.25">
      <c r="A30" s="3" t="s">
        <v>819</v>
      </c>
      <c r="B30" s="3" t="s">
        <v>16</v>
      </c>
      <c r="C30" s="3">
        <v>35</v>
      </c>
      <c r="D30" s="4">
        <v>46218</v>
      </c>
      <c r="E30" s="3" t="s">
        <v>816</v>
      </c>
      <c r="F30" s="3" t="s">
        <v>896</v>
      </c>
      <c r="G30" s="3" t="s">
        <v>871</v>
      </c>
      <c r="H30" s="20">
        <v>81</v>
      </c>
      <c r="I30" s="3" t="s">
        <v>883</v>
      </c>
      <c r="J30" s="3" t="s">
        <v>502</v>
      </c>
    </row>
    <row r="31" spans="1:10" s="3" customFormat="1" x14ac:dyDescent="0.25">
      <c r="A31" s="3" t="s">
        <v>589</v>
      </c>
      <c r="B31" s="3" t="s">
        <v>16</v>
      </c>
      <c r="C31" s="3">
        <v>36</v>
      </c>
      <c r="D31" s="4">
        <v>46218</v>
      </c>
      <c r="E31" s="3" t="s">
        <v>95</v>
      </c>
      <c r="F31" s="3" t="s">
        <v>897</v>
      </c>
      <c r="G31" s="3" t="s">
        <v>871</v>
      </c>
      <c r="H31" s="20">
        <v>127</v>
      </c>
      <c r="I31" s="3" t="s">
        <v>885</v>
      </c>
      <c r="J31" s="3" t="s">
        <v>502</v>
      </c>
    </row>
    <row r="32" spans="1:10" s="3" customFormat="1" x14ac:dyDescent="0.25">
      <c r="A32" s="3" t="s">
        <v>667</v>
      </c>
      <c r="B32" s="3" t="s">
        <v>16</v>
      </c>
      <c r="C32" s="3">
        <v>37</v>
      </c>
      <c r="D32" s="4">
        <v>46218</v>
      </c>
      <c r="E32" s="3" t="s">
        <v>213</v>
      </c>
      <c r="F32" s="3" t="s">
        <v>898</v>
      </c>
      <c r="G32" s="3" t="s">
        <v>871</v>
      </c>
      <c r="H32" s="20">
        <v>2500</v>
      </c>
      <c r="I32" s="3" t="s">
        <v>874</v>
      </c>
      <c r="J32" s="3" t="s">
        <v>502</v>
      </c>
    </row>
    <row r="33" spans="1:10" s="3" customFormat="1" x14ac:dyDescent="0.25">
      <c r="A33" s="3" t="s">
        <v>668</v>
      </c>
      <c r="B33" s="3" t="s">
        <v>16</v>
      </c>
      <c r="C33" s="3">
        <v>38</v>
      </c>
      <c r="D33" s="4">
        <v>46218</v>
      </c>
      <c r="E33" s="3" t="s">
        <v>213</v>
      </c>
      <c r="F33" s="3" t="s">
        <v>898</v>
      </c>
      <c r="G33" s="3" t="s">
        <v>871</v>
      </c>
      <c r="H33" s="20">
        <v>2250</v>
      </c>
      <c r="I33" s="3" t="s">
        <v>875</v>
      </c>
      <c r="J33" s="3" t="s">
        <v>502</v>
      </c>
    </row>
    <row r="34" spans="1:10" s="3" customFormat="1" x14ac:dyDescent="0.25">
      <c r="A34" s="3" t="s">
        <v>669</v>
      </c>
      <c r="B34" s="3" t="s">
        <v>16</v>
      </c>
      <c r="C34" s="3">
        <v>39</v>
      </c>
      <c r="D34" s="4">
        <v>46218</v>
      </c>
      <c r="E34" s="3" t="s">
        <v>213</v>
      </c>
      <c r="F34" s="3" t="s">
        <v>898</v>
      </c>
      <c r="G34" s="3" t="s">
        <v>871</v>
      </c>
      <c r="H34" s="20">
        <v>2000</v>
      </c>
      <c r="I34" s="3" t="s">
        <v>876</v>
      </c>
      <c r="J34" s="3" t="s">
        <v>502</v>
      </c>
    </row>
    <row r="35" spans="1:10" s="3" customFormat="1" x14ac:dyDescent="0.25">
      <c r="A35" s="3" t="s">
        <v>675</v>
      </c>
      <c r="B35" s="3" t="s">
        <v>16</v>
      </c>
      <c r="C35" s="3">
        <v>40</v>
      </c>
      <c r="D35" s="4">
        <v>46218</v>
      </c>
      <c r="E35" s="3" t="s">
        <v>220</v>
      </c>
      <c r="F35" s="3" t="s">
        <v>899</v>
      </c>
      <c r="G35" s="3" t="s">
        <v>871</v>
      </c>
      <c r="H35" s="20">
        <v>6750</v>
      </c>
      <c r="I35" s="3" t="s">
        <v>872</v>
      </c>
      <c r="J35" s="3" t="s">
        <v>502</v>
      </c>
    </row>
    <row r="36" spans="1:10" s="3" customFormat="1" x14ac:dyDescent="0.25">
      <c r="A36" s="3" t="s">
        <v>678</v>
      </c>
      <c r="B36" s="3" t="s">
        <v>16</v>
      </c>
      <c r="C36" s="3">
        <v>41</v>
      </c>
      <c r="D36" s="4">
        <v>46218</v>
      </c>
      <c r="E36" s="3" t="s">
        <v>227</v>
      </c>
      <c r="F36" s="3" t="s">
        <v>900</v>
      </c>
      <c r="G36" s="3" t="s">
        <v>871</v>
      </c>
      <c r="H36" s="20">
        <v>-123</v>
      </c>
      <c r="I36" s="3" t="s">
        <v>880</v>
      </c>
      <c r="J36" s="3" t="s">
        <v>502</v>
      </c>
    </row>
    <row r="37" spans="1:10" s="3" customFormat="1" x14ac:dyDescent="0.25">
      <c r="A37" s="3" t="s">
        <v>679</v>
      </c>
      <c r="B37" s="3" t="s">
        <v>16</v>
      </c>
      <c r="C37" s="3">
        <v>42</v>
      </c>
      <c r="D37" s="4">
        <v>46218</v>
      </c>
      <c r="E37" s="3" t="s">
        <v>227</v>
      </c>
      <c r="F37" s="3" t="s">
        <v>900</v>
      </c>
      <c r="G37" s="3" t="s">
        <v>871</v>
      </c>
      <c r="H37" s="20">
        <v>-177</v>
      </c>
      <c r="I37" s="3" t="s">
        <v>881</v>
      </c>
      <c r="J37" s="3" t="s">
        <v>502</v>
      </c>
    </row>
    <row r="38" spans="1:10" s="3" customFormat="1" x14ac:dyDescent="0.25">
      <c r="A38" s="3" t="s">
        <v>683</v>
      </c>
      <c r="B38" s="3" t="s">
        <v>16</v>
      </c>
      <c r="C38" s="3">
        <v>43</v>
      </c>
      <c r="D38" s="4">
        <v>46218</v>
      </c>
      <c r="E38" s="3" t="s">
        <v>233</v>
      </c>
      <c r="F38" s="3" t="s">
        <v>901</v>
      </c>
      <c r="G38" s="3" t="s">
        <v>871</v>
      </c>
      <c r="H38" s="20">
        <v>-300</v>
      </c>
      <c r="I38" s="3" t="s">
        <v>878</v>
      </c>
      <c r="J38" s="3" t="s">
        <v>502</v>
      </c>
    </row>
    <row r="39" spans="1:10" s="3" customFormat="1" x14ac:dyDescent="0.25">
      <c r="A39" s="3" t="s">
        <v>823</v>
      </c>
      <c r="B39" s="3" t="s">
        <v>16</v>
      </c>
      <c r="C39" s="3">
        <v>44</v>
      </c>
      <c r="D39" s="4">
        <v>46218</v>
      </c>
      <c r="E39" s="3" t="s">
        <v>821</v>
      </c>
      <c r="F39" s="3" t="s">
        <v>902</v>
      </c>
      <c r="G39" s="3" t="s">
        <v>871</v>
      </c>
      <c r="H39" s="20">
        <v>81</v>
      </c>
      <c r="I39" s="3" t="s">
        <v>883</v>
      </c>
      <c r="J39" s="3" t="s">
        <v>502</v>
      </c>
    </row>
    <row r="40" spans="1:10" s="3" customFormat="1" x14ac:dyDescent="0.25">
      <c r="A40" s="3" t="s">
        <v>824</v>
      </c>
      <c r="B40" s="3" t="s">
        <v>16</v>
      </c>
      <c r="C40" s="3">
        <v>45</v>
      </c>
      <c r="D40" s="4">
        <v>46218</v>
      </c>
      <c r="E40" s="3" t="s">
        <v>821</v>
      </c>
      <c r="F40" s="3" t="s">
        <v>902</v>
      </c>
      <c r="G40" s="3" t="s">
        <v>871</v>
      </c>
      <c r="H40" s="20">
        <v>81</v>
      </c>
      <c r="I40" s="3" t="s">
        <v>883</v>
      </c>
      <c r="J40" s="3" t="s">
        <v>502</v>
      </c>
    </row>
    <row r="41" spans="1:10" s="3" customFormat="1" x14ac:dyDescent="0.25">
      <c r="A41" s="3" t="s">
        <v>591</v>
      </c>
      <c r="B41" s="3" t="s">
        <v>16</v>
      </c>
      <c r="C41" s="3">
        <v>46</v>
      </c>
      <c r="D41" s="4">
        <v>46218</v>
      </c>
      <c r="E41" s="3" t="s">
        <v>99</v>
      </c>
      <c r="F41" s="3" t="s">
        <v>903</v>
      </c>
      <c r="G41" s="3" t="s">
        <v>871</v>
      </c>
      <c r="H41" s="20">
        <v>127</v>
      </c>
      <c r="I41" s="3" t="s">
        <v>885</v>
      </c>
      <c r="J41" s="3" t="s">
        <v>502</v>
      </c>
    </row>
    <row r="42" spans="1:10" s="3" customFormat="1" x14ac:dyDescent="0.25">
      <c r="A42" s="3" t="s">
        <v>687</v>
      </c>
      <c r="B42" s="3" t="s">
        <v>16</v>
      </c>
      <c r="C42" s="3">
        <v>47</v>
      </c>
      <c r="D42" s="4">
        <v>46218</v>
      </c>
      <c r="E42" s="3" t="s">
        <v>239</v>
      </c>
      <c r="F42" s="3" t="s">
        <v>904</v>
      </c>
      <c r="G42" s="3" t="s">
        <v>871</v>
      </c>
      <c r="H42" s="20">
        <v>2500</v>
      </c>
      <c r="I42" s="3" t="s">
        <v>874</v>
      </c>
      <c r="J42" s="3" t="s">
        <v>502</v>
      </c>
    </row>
    <row r="43" spans="1:10" s="3" customFormat="1" x14ac:dyDescent="0.25">
      <c r="A43" s="3" t="s">
        <v>688</v>
      </c>
      <c r="B43" s="3" t="s">
        <v>16</v>
      </c>
      <c r="C43" s="3">
        <v>48</v>
      </c>
      <c r="D43" s="4">
        <v>46218</v>
      </c>
      <c r="E43" s="3" t="s">
        <v>239</v>
      </c>
      <c r="F43" s="3" t="s">
        <v>904</v>
      </c>
      <c r="G43" s="3" t="s">
        <v>871</v>
      </c>
      <c r="H43" s="20">
        <v>2250</v>
      </c>
      <c r="I43" s="3" t="s">
        <v>875</v>
      </c>
      <c r="J43" s="3" t="s">
        <v>502</v>
      </c>
    </row>
    <row r="44" spans="1:10" s="3" customFormat="1" x14ac:dyDescent="0.25">
      <c r="A44" s="3" t="s">
        <v>689</v>
      </c>
      <c r="B44" s="3" t="s">
        <v>16</v>
      </c>
      <c r="C44" s="3">
        <v>49</v>
      </c>
      <c r="D44" s="4">
        <v>46218</v>
      </c>
      <c r="E44" s="3" t="s">
        <v>239</v>
      </c>
      <c r="F44" s="3" t="s">
        <v>904</v>
      </c>
      <c r="G44" s="3" t="s">
        <v>871</v>
      </c>
      <c r="H44" s="20">
        <v>2000</v>
      </c>
      <c r="I44" s="3" t="s">
        <v>876</v>
      </c>
      <c r="J44" s="3" t="s">
        <v>502</v>
      </c>
    </row>
    <row r="45" spans="1:10" s="3" customFormat="1" x14ac:dyDescent="0.25">
      <c r="A45" s="3" t="s">
        <v>695</v>
      </c>
      <c r="B45" s="3" t="s">
        <v>16</v>
      </c>
      <c r="C45" s="3">
        <v>50</v>
      </c>
      <c r="D45" s="4">
        <v>46218</v>
      </c>
      <c r="E45" s="3" t="s">
        <v>246</v>
      </c>
      <c r="F45" s="3" t="s">
        <v>905</v>
      </c>
      <c r="G45" s="3" t="s">
        <v>871</v>
      </c>
      <c r="H45" s="20">
        <v>6750</v>
      </c>
      <c r="I45" s="3" t="s">
        <v>872</v>
      </c>
      <c r="J45" s="3" t="s">
        <v>502</v>
      </c>
    </row>
    <row r="46" spans="1:10" s="3" customFormat="1" x14ac:dyDescent="0.25">
      <c r="A46" s="3" t="s">
        <v>698</v>
      </c>
      <c r="B46" s="3" t="s">
        <v>16</v>
      </c>
      <c r="C46" s="3">
        <v>51</v>
      </c>
      <c r="D46" s="4">
        <v>46218</v>
      </c>
      <c r="E46" s="3" t="s">
        <v>253</v>
      </c>
      <c r="F46" s="3" t="s">
        <v>906</v>
      </c>
      <c r="G46" s="3" t="s">
        <v>871</v>
      </c>
      <c r="H46" s="20">
        <v>-123</v>
      </c>
      <c r="I46" s="3" t="s">
        <v>880</v>
      </c>
      <c r="J46" s="3" t="s">
        <v>502</v>
      </c>
    </row>
    <row r="47" spans="1:10" s="3" customFormat="1" x14ac:dyDescent="0.25">
      <c r="A47" s="3" t="s">
        <v>699</v>
      </c>
      <c r="B47" s="3" t="s">
        <v>16</v>
      </c>
      <c r="C47" s="3">
        <v>52</v>
      </c>
      <c r="D47" s="4">
        <v>46218</v>
      </c>
      <c r="E47" s="3" t="s">
        <v>253</v>
      </c>
      <c r="F47" s="3" t="s">
        <v>906</v>
      </c>
      <c r="G47" s="3" t="s">
        <v>871</v>
      </c>
      <c r="H47" s="20">
        <v>-177</v>
      </c>
      <c r="I47" s="3" t="s">
        <v>881</v>
      </c>
      <c r="J47" s="3" t="s">
        <v>502</v>
      </c>
    </row>
    <row r="48" spans="1:10" s="3" customFormat="1" x14ac:dyDescent="0.25">
      <c r="A48" s="3" t="s">
        <v>703</v>
      </c>
      <c r="B48" s="3" t="s">
        <v>16</v>
      </c>
      <c r="C48" s="3">
        <v>53</v>
      </c>
      <c r="D48" s="4">
        <v>46218</v>
      </c>
      <c r="E48" s="3" t="s">
        <v>259</v>
      </c>
      <c r="F48" s="3" t="s">
        <v>907</v>
      </c>
      <c r="G48" s="3" t="s">
        <v>871</v>
      </c>
      <c r="H48" s="20">
        <v>-300</v>
      </c>
      <c r="I48" s="3" t="s">
        <v>878</v>
      </c>
      <c r="J48" s="3" t="s">
        <v>502</v>
      </c>
    </row>
    <row r="49" spans="1:10" s="3" customFormat="1" x14ac:dyDescent="0.25">
      <c r="A49" s="3" t="s">
        <v>828</v>
      </c>
      <c r="B49" s="3" t="s">
        <v>16</v>
      </c>
      <c r="C49" s="3">
        <v>54</v>
      </c>
      <c r="D49" s="4">
        <v>46218</v>
      </c>
      <c r="E49" s="3" t="s">
        <v>826</v>
      </c>
      <c r="F49" s="3" t="s">
        <v>908</v>
      </c>
      <c r="G49" s="3" t="s">
        <v>871</v>
      </c>
      <c r="H49" s="20">
        <v>81</v>
      </c>
      <c r="I49" s="3" t="s">
        <v>883</v>
      </c>
      <c r="J49" s="3" t="s">
        <v>502</v>
      </c>
    </row>
    <row r="50" spans="1:10" s="3" customFormat="1" x14ac:dyDescent="0.25">
      <c r="A50" s="3" t="s">
        <v>829</v>
      </c>
      <c r="B50" s="3" t="s">
        <v>16</v>
      </c>
      <c r="C50" s="3">
        <v>55</v>
      </c>
      <c r="D50" s="4">
        <v>46218</v>
      </c>
      <c r="E50" s="3" t="s">
        <v>826</v>
      </c>
      <c r="F50" s="3" t="s">
        <v>908</v>
      </c>
      <c r="G50" s="3" t="s">
        <v>871</v>
      </c>
      <c r="H50" s="20">
        <v>81</v>
      </c>
      <c r="I50" s="3" t="s">
        <v>883</v>
      </c>
      <c r="J50" s="3" t="s">
        <v>502</v>
      </c>
    </row>
    <row r="51" spans="1:10" s="3" customFormat="1" x14ac:dyDescent="0.25">
      <c r="A51" s="3" t="s">
        <v>593</v>
      </c>
      <c r="B51" s="3" t="s">
        <v>16</v>
      </c>
      <c r="C51" s="3">
        <v>56</v>
      </c>
      <c r="D51" s="4">
        <v>46218</v>
      </c>
      <c r="E51" s="3" t="s">
        <v>103</v>
      </c>
      <c r="F51" s="3" t="s">
        <v>909</v>
      </c>
      <c r="G51" s="3" t="s">
        <v>871</v>
      </c>
      <c r="H51" s="20">
        <v>127</v>
      </c>
      <c r="I51" s="3" t="s">
        <v>885</v>
      </c>
      <c r="J51" s="3" t="s">
        <v>502</v>
      </c>
    </row>
    <row r="52" spans="1:10" s="3" customFormat="1" x14ac:dyDescent="0.25">
      <c r="A52" s="3" t="s">
        <v>707</v>
      </c>
      <c r="B52" s="3" t="s">
        <v>16</v>
      </c>
      <c r="C52" s="3">
        <v>57</v>
      </c>
      <c r="D52" s="4">
        <v>46218</v>
      </c>
      <c r="E52" s="3" t="s">
        <v>265</v>
      </c>
      <c r="F52" s="3" t="s">
        <v>910</v>
      </c>
      <c r="G52" s="3" t="s">
        <v>871</v>
      </c>
      <c r="H52" s="20">
        <v>2500</v>
      </c>
      <c r="I52" s="3" t="s">
        <v>874</v>
      </c>
      <c r="J52" s="3" t="s">
        <v>502</v>
      </c>
    </row>
    <row r="53" spans="1:10" s="3" customFormat="1" x14ac:dyDescent="0.25">
      <c r="A53" s="3" t="s">
        <v>708</v>
      </c>
      <c r="B53" s="3" t="s">
        <v>16</v>
      </c>
      <c r="C53" s="3">
        <v>58</v>
      </c>
      <c r="D53" s="4">
        <v>46218</v>
      </c>
      <c r="E53" s="3" t="s">
        <v>265</v>
      </c>
      <c r="F53" s="3" t="s">
        <v>910</v>
      </c>
      <c r="G53" s="3" t="s">
        <v>871</v>
      </c>
      <c r="H53" s="20">
        <v>2250</v>
      </c>
      <c r="I53" s="3" t="s">
        <v>875</v>
      </c>
      <c r="J53" s="3" t="s">
        <v>502</v>
      </c>
    </row>
    <row r="54" spans="1:10" s="3" customFormat="1" x14ac:dyDescent="0.25">
      <c r="A54" s="3" t="s">
        <v>709</v>
      </c>
      <c r="B54" s="3" t="s">
        <v>16</v>
      </c>
      <c r="C54" s="3">
        <v>59</v>
      </c>
      <c r="D54" s="4">
        <v>46218</v>
      </c>
      <c r="E54" s="3" t="s">
        <v>265</v>
      </c>
      <c r="F54" s="3" t="s">
        <v>910</v>
      </c>
      <c r="G54" s="3" t="s">
        <v>871</v>
      </c>
      <c r="H54" s="20">
        <v>2000</v>
      </c>
      <c r="I54" s="3" t="s">
        <v>876</v>
      </c>
      <c r="J54" s="3" t="s">
        <v>502</v>
      </c>
    </row>
    <row r="55" spans="1:10" s="3" customFormat="1" x14ac:dyDescent="0.25">
      <c r="A55" s="3" t="s">
        <v>715</v>
      </c>
      <c r="B55" s="3" t="s">
        <v>16</v>
      </c>
      <c r="C55" s="3">
        <v>60</v>
      </c>
      <c r="D55" s="4">
        <v>46218</v>
      </c>
      <c r="E55" s="3" t="s">
        <v>272</v>
      </c>
      <c r="F55" s="3" t="s">
        <v>911</v>
      </c>
      <c r="G55" s="3" t="s">
        <v>871</v>
      </c>
      <c r="H55" s="20">
        <v>6750</v>
      </c>
      <c r="I55" s="3" t="s">
        <v>872</v>
      </c>
      <c r="J55" s="3" t="s">
        <v>502</v>
      </c>
    </row>
    <row r="56" spans="1:10" s="3" customFormat="1" x14ac:dyDescent="0.25">
      <c r="A56" s="3" t="s">
        <v>718</v>
      </c>
      <c r="B56" s="3" t="s">
        <v>16</v>
      </c>
      <c r="C56" s="3">
        <v>61</v>
      </c>
      <c r="D56" s="4">
        <v>46218</v>
      </c>
      <c r="E56" s="3" t="s">
        <v>279</v>
      </c>
      <c r="F56" s="3" t="s">
        <v>912</v>
      </c>
      <c r="G56" s="3" t="s">
        <v>871</v>
      </c>
      <c r="H56" s="20">
        <v>-123</v>
      </c>
      <c r="I56" s="3" t="s">
        <v>880</v>
      </c>
      <c r="J56" s="3" t="s">
        <v>502</v>
      </c>
    </row>
    <row r="57" spans="1:10" s="3" customFormat="1" x14ac:dyDescent="0.25">
      <c r="A57" s="3" t="s">
        <v>719</v>
      </c>
      <c r="B57" s="3" t="s">
        <v>16</v>
      </c>
      <c r="C57" s="3">
        <v>62</v>
      </c>
      <c r="D57" s="4">
        <v>46218</v>
      </c>
      <c r="E57" s="3" t="s">
        <v>279</v>
      </c>
      <c r="F57" s="3" t="s">
        <v>912</v>
      </c>
      <c r="G57" s="3" t="s">
        <v>871</v>
      </c>
      <c r="H57" s="20">
        <v>-177</v>
      </c>
      <c r="I57" s="3" t="s">
        <v>881</v>
      </c>
      <c r="J57" s="3" t="s">
        <v>502</v>
      </c>
    </row>
    <row r="58" spans="1:10" s="3" customFormat="1" x14ac:dyDescent="0.25">
      <c r="A58" s="3" t="s">
        <v>723</v>
      </c>
      <c r="B58" s="3" t="s">
        <v>16</v>
      </c>
      <c r="C58" s="3">
        <v>63</v>
      </c>
      <c r="D58" s="4">
        <v>46218</v>
      </c>
      <c r="E58" s="3" t="s">
        <v>285</v>
      </c>
      <c r="F58" s="3" t="s">
        <v>913</v>
      </c>
      <c r="G58" s="3" t="s">
        <v>871</v>
      </c>
      <c r="H58" s="20">
        <v>-300</v>
      </c>
      <c r="I58" s="3" t="s">
        <v>878</v>
      </c>
      <c r="J58" s="3" t="s">
        <v>502</v>
      </c>
    </row>
    <row r="59" spans="1:10" s="3" customFormat="1" x14ac:dyDescent="0.25">
      <c r="A59" s="3" t="s">
        <v>833</v>
      </c>
      <c r="B59" s="3" t="s">
        <v>16</v>
      </c>
      <c r="C59" s="3">
        <v>64</v>
      </c>
      <c r="D59" s="4">
        <v>46218</v>
      </c>
      <c r="E59" s="3" t="s">
        <v>831</v>
      </c>
      <c r="F59" s="3" t="s">
        <v>914</v>
      </c>
      <c r="G59" s="3" t="s">
        <v>871</v>
      </c>
      <c r="H59" s="20">
        <v>81</v>
      </c>
      <c r="I59" s="3" t="s">
        <v>883</v>
      </c>
      <c r="J59" s="3" t="s">
        <v>502</v>
      </c>
    </row>
    <row r="60" spans="1:10" s="3" customFormat="1" x14ac:dyDescent="0.25">
      <c r="A60" s="3" t="s">
        <v>834</v>
      </c>
      <c r="B60" s="3" t="s">
        <v>16</v>
      </c>
      <c r="C60" s="3">
        <v>65</v>
      </c>
      <c r="D60" s="4">
        <v>46218</v>
      </c>
      <c r="E60" s="3" t="s">
        <v>831</v>
      </c>
      <c r="F60" s="3" t="s">
        <v>914</v>
      </c>
      <c r="G60" s="3" t="s">
        <v>871</v>
      </c>
      <c r="H60" s="20">
        <v>81</v>
      </c>
      <c r="I60" s="3" t="s">
        <v>883</v>
      </c>
      <c r="J60" s="3" t="s">
        <v>502</v>
      </c>
    </row>
    <row r="61" spans="1:10" s="3" customFormat="1" x14ac:dyDescent="0.25">
      <c r="A61" s="3" t="s">
        <v>595</v>
      </c>
      <c r="B61" s="3" t="s">
        <v>16</v>
      </c>
      <c r="C61" s="3">
        <v>66</v>
      </c>
      <c r="D61" s="4">
        <v>46218</v>
      </c>
      <c r="E61" s="3" t="s">
        <v>107</v>
      </c>
      <c r="F61" s="3" t="s">
        <v>915</v>
      </c>
      <c r="G61" s="3" t="s">
        <v>871</v>
      </c>
      <c r="H61" s="20">
        <v>127</v>
      </c>
      <c r="I61" s="3" t="s">
        <v>885</v>
      </c>
      <c r="J61" s="3" t="s">
        <v>502</v>
      </c>
    </row>
    <row r="62" spans="1:10" s="3" customFormat="1" x14ac:dyDescent="0.25">
      <c r="A62" s="3" t="s">
        <v>727</v>
      </c>
      <c r="B62" s="3" t="s">
        <v>16</v>
      </c>
      <c r="C62" s="3">
        <v>67</v>
      </c>
      <c r="D62" s="4">
        <v>46218</v>
      </c>
      <c r="E62" s="3" t="s">
        <v>291</v>
      </c>
      <c r="F62" s="3" t="s">
        <v>916</v>
      </c>
      <c r="G62" s="3" t="s">
        <v>871</v>
      </c>
      <c r="H62" s="20">
        <v>2500</v>
      </c>
      <c r="I62" s="3" t="s">
        <v>874</v>
      </c>
      <c r="J62" s="3" t="s">
        <v>502</v>
      </c>
    </row>
    <row r="63" spans="1:10" s="3" customFormat="1" x14ac:dyDescent="0.25">
      <c r="A63" s="3" t="s">
        <v>728</v>
      </c>
      <c r="B63" s="3" t="s">
        <v>16</v>
      </c>
      <c r="C63" s="3">
        <v>68</v>
      </c>
      <c r="D63" s="4">
        <v>46218</v>
      </c>
      <c r="E63" s="3" t="s">
        <v>291</v>
      </c>
      <c r="F63" s="3" t="s">
        <v>916</v>
      </c>
      <c r="G63" s="3" t="s">
        <v>871</v>
      </c>
      <c r="H63" s="20">
        <v>2250</v>
      </c>
      <c r="I63" s="3" t="s">
        <v>875</v>
      </c>
      <c r="J63" s="3" t="s">
        <v>502</v>
      </c>
    </row>
    <row r="64" spans="1:10" s="3" customFormat="1" x14ac:dyDescent="0.25">
      <c r="A64" s="3" t="s">
        <v>729</v>
      </c>
      <c r="B64" s="3" t="s">
        <v>16</v>
      </c>
      <c r="C64" s="3">
        <v>69</v>
      </c>
      <c r="D64" s="4">
        <v>46218</v>
      </c>
      <c r="E64" s="3" t="s">
        <v>291</v>
      </c>
      <c r="F64" s="3" t="s">
        <v>916</v>
      </c>
      <c r="G64" s="3" t="s">
        <v>871</v>
      </c>
      <c r="H64" s="20">
        <v>2000</v>
      </c>
      <c r="I64" s="3" t="s">
        <v>876</v>
      </c>
      <c r="J64" s="3" t="s">
        <v>502</v>
      </c>
    </row>
    <row r="65" spans="1:10" s="3" customFormat="1" x14ac:dyDescent="0.25">
      <c r="A65" s="3" t="s">
        <v>735</v>
      </c>
      <c r="B65" s="3" t="s">
        <v>16</v>
      </c>
      <c r="C65" s="3">
        <v>70</v>
      </c>
      <c r="D65" s="4">
        <v>46218</v>
      </c>
      <c r="E65" s="3" t="s">
        <v>298</v>
      </c>
      <c r="F65" s="3" t="s">
        <v>917</v>
      </c>
      <c r="G65" s="3" t="s">
        <v>871</v>
      </c>
      <c r="H65" s="20">
        <v>6750</v>
      </c>
      <c r="I65" s="3" t="s">
        <v>872</v>
      </c>
      <c r="J65" s="3" t="s">
        <v>502</v>
      </c>
    </row>
    <row r="66" spans="1:10" s="3" customFormat="1" x14ac:dyDescent="0.25">
      <c r="A66" s="3" t="s">
        <v>738</v>
      </c>
      <c r="B66" s="3" t="s">
        <v>16</v>
      </c>
      <c r="C66" s="3">
        <v>71</v>
      </c>
      <c r="D66" s="4">
        <v>46218</v>
      </c>
      <c r="E66" s="3" t="s">
        <v>305</v>
      </c>
      <c r="F66" s="3" t="s">
        <v>918</v>
      </c>
      <c r="G66" s="3" t="s">
        <v>871</v>
      </c>
      <c r="H66" s="20">
        <v>-123</v>
      </c>
      <c r="I66" s="3" t="s">
        <v>880</v>
      </c>
      <c r="J66" s="3" t="s">
        <v>502</v>
      </c>
    </row>
    <row r="67" spans="1:10" s="3" customFormat="1" x14ac:dyDescent="0.25">
      <c r="A67" s="3" t="s">
        <v>739</v>
      </c>
      <c r="B67" s="3" t="s">
        <v>16</v>
      </c>
      <c r="C67" s="3">
        <v>72</v>
      </c>
      <c r="D67" s="4">
        <v>46218</v>
      </c>
      <c r="E67" s="3" t="s">
        <v>305</v>
      </c>
      <c r="F67" s="3" t="s">
        <v>918</v>
      </c>
      <c r="G67" s="3" t="s">
        <v>871</v>
      </c>
      <c r="H67" s="20">
        <v>-177</v>
      </c>
      <c r="I67" s="3" t="s">
        <v>881</v>
      </c>
      <c r="J67" s="3" t="s">
        <v>502</v>
      </c>
    </row>
    <row r="68" spans="1:10" s="3" customFormat="1" x14ac:dyDescent="0.25">
      <c r="A68" s="3" t="s">
        <v>743</v>
      </c>
      <c r="B68" s="3" t="s">
        <v>16</v>
      </c>
      <c r="C68" s="3">
        <v>73</v>
      </c>
      <c r="D68" s="4">
        <v>46218</v>
      </c>
      <c r="E68" s="3" t="s">
        <v>311</v>
      </c>
      <c r="F68" s="3" t="s">
        <v>919</v>
      </c>
      <c r="G68" s="3" t="s">
        <v>871</v>
      </c>
      <c r="H68" s="20">
        <v>-300</v>
      </c>
      <c r="I68" s="3" t="s">
        <v>878</v>
      </c>
      <c r="J68" s="3" t="s">
        <v>502</v>
      </c>
    </row>
    <row r="69" spans="1:10" s="3" customFormat="1" x14ac:dyDescent="0.25">
      <c r="A69" s="3" t="s">
        <v>838</v>
      </c>
      <c r="B69" s="3" t="s">
        <v>16</v>
      </c>
      <c r="C69" s="3">
        <v>74</v>
      </c>
      <c r="D69" s="4">
        <v>46218</v>
      </c>
      <c r="E69" s="3" t="s">
        <v>836</v>
      </c>
      <c r="F69" s="3" t="s">
        <v>920</v>
      </c>
      <c r="G69" s="3" t="s">
        <v>871</v>
      </c>
      <c r="H69" s="20">
        <v>81</v>
      </c>
      <c r="I69" s="3" t="s">
        <v>883</v>
      </c>
      <c r="J69" s="3" t="s">
        <v>502</v>
      </c>
    </row>
    <row r="70" spans="1:10" s="3" customFormat="1" x14ac:dyDescent="0.25">
      <c r="A70" s="3" t="s">
        <v>839</v>
      </c>
      <c r="B70" s="3" t="s">
        <v>16</v>
      </c>
      <c r="C70" s="3">
        <v>75</v>
      </c>
      <c r="D70" s="4">
        <v>46218</v>
      </c>
      <c r="E70" s="3" t="s">
        <v>836</v>
      </c>
      <c r="F70" s="3" t="s">
        <v>920</v>
      </c>
      <c r="G70" s="3" t="s">
        <v>871</v>
      </c>
      <c r="H70" s="20">
        <v>81</v>
      </c>
      <c r="I70" s="3" t="s">
        <v>883</v>
      </c>
      <c r="J70" s="3" t="s">
        <v>502</v>
      </c>
    </row>
    <row r="71" spans="1:10" s="3" customFormat="1" x14ac:dyDescent="0.25">
      <c r="A71" s="3" t="s">
        <v>597</v>
      </c>
      <c r="B71" s="3" t="s">
        <v>16</v>
      </c>
      <c r="C71" s="3">
        <v>76</v>
      </c>
      <c r="D71" s="4">
        <v>46218</v>
      </c>
      <c r="E71" s="3" t="s">
        <v>111</v>
      </c>
      <c r="F71" s="3" t="s">
        <v>921</v>
      </c>
      <c r="G71" s="3" t="s">
        <v>871</v>
      </c>
      <c r="H71" s="20">
        <v>127</v>
      </c>
      <c r="I71" s="3" t="s">
        <v>885</v>
      </c>
      <c r="J71" s="3" t="s">
        <v>502</v>
      </c>
    </row>
    <row r="72" spans="1:10" s="3" customFormat="1" x14ac:dyDescent="0.25">
      <c r="A72" s="3" t="s">
        <v>747</v>
      </c>
      <c r="B72" s="3" t="s">
        <v>16</v>
      </c>
      <c r="C72" s="3">
        <v>77</v>
      </c>
      <c r="D72" s="4">
        <v>46218</v>
      </c>
      <c r="E72" s="3" t="s">
        <v>317</v>
      </c>
      <c r="F72" s="3" t="s">
        <v>922</v>
      </c>
      <c r="G72" s="3" t="s">
        <v>871</v>
      </c>
      <c r="H72" s="20">
        <v>2500</v>
      </c>
      <c r="I72" s="3" t="s">
        <v>874</v>
      </c>
      <c r="J72" s="3" t="s">
        <v>502</v>
      </c>
    </row>
    <row r="73" spans="1:10" s="3" customFormat="1" x14ac:dyDescent="0.25">
      <c r="A73" s="3" t="s">
        <v>748</v>
      </c>
      <c r="B73" s="3" t="s">
        <v>16</v>
      </c>
      <c r="C73" s="3">
        <v>78</v>
      </c>
      <c r="D73" s="4">
        <v>46218</v>
      </c>
      <c r="E73" s="3" t="s">
        <v>317</v>
      </c>
      <c r="F73" s="3" t="s">
        <v>922</v>
      </c>
      <c r="G73" s="3" t="s">
        <v>871</v>
      </c>
      <c r="H73" s="20">
        <v>2250</v>
      </c>
      <c r="I73" s="3" t="s">
        <v>875</v>
      </c>
      <c r="J73" s="3" t="s">
        <v>502</v>
      </c>
    </row>
    <row r="74" spans="1:10" s="3" customFormat="1" x14ac:dyDescent="0.25">
      <c r="A74" s="3" t="s">
        <v>749</v>
      </c>
      <c r="B74" s="3" t="s">
        <v>16</v>
      </c>
      <c r="C74" s="3">
        <v>79</v>
      </c>
      <c r="D74" s="4">
        <v>46218</v>
      </c>
      <c r="E74" s="3" t="s">
        <v>317</v>
      </c>
      <c r="F74" s="3" t="s">
        <v>922</v>
      </c>
      <c r="G74" s="3" t="s">
        <v>871</v>
      </c>
      <c r="H74" s="20">
        <v>2000</v>
      </c>
      <c r="I74" s="3" t="s">
        <v>876</v>
      </c>
      <c r="J74" s="3" t="s">
        <v>502</v>
      </c>
    </row>
    <row r="75" spans="1:10" s="3" customFormat="1" x14ac:dyDescent="0.25">
      <c r="A75" s="3" t="s">
        <v>755</v>
      </c>
      <c r="B75" s="3" t="s">
        <v>16</v>
      </c>
      <c r="C75" s="3">
        <v>80</v>
      </c>
      <c r="D75" s="4">
        <v>46218</v>
      </c>
      <c r="E75" s="3" t="s">
        <v>324</v>
      </c>
      <c r="F75" s="3" t="s">
        <v>923</v>
      </c>
      <c r="G75" s="3" t="s">
        <v>871</v>
      </c>
      <c r="H75" s="20">
        <v>6750</v>
      </c>
      <c r="I75" s="3" t="s">
        <v>872</v>
      </c>
      <c r="J75" s="3" t="s">
        <v>502</v>
      </c>
    </row>
    <row r="76" spans="1:10" s="3" customFormat="1" x14ac:dyDescent="0.25">
      <c r="A76" s="3" t="s">
        <v>758</v>
      </c>
      <c r="B76" s="3" t="s">
        <v>16</v>
      </c>
      <c r="C76" s="3">
        <v>81</v>
      </c>
      <c r="D76" s="4">
        <v>46218</v>
      </c>
      <c r="E76" s="3" t="s">
        <v>331</v>
      </c>
      <c r="F76" s="3" t="s">
        <v>924</v>
      </c>
      <c r="G76" s="3" t="s">
        <v>871</v>
      </c>
      <c r="H76" s="20">
        <v>-123</v>
      </c>
      <c r="I76" s="3" t="s">
        <v>880</v>
      </c>
      <c r="J76" s="3" t="s">
        <v>502</v>
      </c>
    </row>
    <row r="77" spans="1:10" s="3" customFormat="1" x14ac:dyDescent="0.25">
      <c r="A77" s="3" t="s">
        <v>759</v>
      </c>
      <c r="B77" s="3" t="s">
        <v>16</v>
      </c>
      <c r="C77" s="3">
        <v>82</v>
      </c>
      <c r="D77" s="4">
        <v>46218</v>
      </c>
      <c r="E77" s="3" t="s">
        <v>331</v>
      </c>
      <c r="F77" s="3" t="s">
        <v>924</v>
      </c>
      <c r="G77" s="3" t="s">
        <v>871</v>
      </c>
      <c r="H77" s="20">
        <v>-177</v>
      </c>
      <c r="I77" s="3" t="s">
        <v>881</v>
      </c>
      <c r="J77" s="3" t="s">
        <v>502</v>
      </c>
    </row>
    <row r="78" spans="1:10" s="3" customFormat="1" x14ac:dyDescent="0.25">
      <c r="A78" s="3" t="s">
        <v>763</v>
      </c>
      <c r="B78" s="3" t="s">
        <v>16</v>
      </c>
      <c r="C78" s="3">
        <v>83</v>
      </c>
      <c r="D78" s="4">
        <v>46218</v>
      </c>
      <c r="E78" s="3" t="s">
        <v>337</v>
      </c>
      <c r="F78" s="3" t="s">
        <v>925</v>
      </c>
      <c r="G78" s="3" t="s">
        <v>871</v>
      </c>
      <c r="H78" s="20">
        <v>-300</v>
      </c>
      <c r="I78" s="3" t="s">
        <v>878</v>
      </c>
      <c r="J78" s="3" t="s">
        <v>502</v>
      </c>
    </row>
    <row r="79" spans="1:10" s="3" customFormat="1" x14ac:dyDescent="0.25">
      <c r="A79" s="3" t="s">
        <v>843</v>
      </c>
      <c r="B79" s="3" t="s">
        <v>16</v>
      </c>
      <c r="C79" s="3">
        <v>84</v>
      </c>
      <c r="D79" s="4">
        <v>46218</v>
      </c>
      <c r="E79" s="3" t="s">
        <v>841</v>
      </c>
      <c r="F79" s="3" t="s">
        <v>926</v>
      </c>
      <c r="G79" s="3" t="s">
        <v>871</v>
      </c>
      <c r="H79" s="20">
        <v>81</v>
      </c>
      <c r="I79" s="3" t="s">
        <v>883</v>
      </c>
      <c r="J79" s="3" t="s">
        <v>502</v>
      </c>
    </row>
    <row r="80" spans="1:10" s="3" customFormat="1" x14ac:dyDescent="0.25">
      <c r="A80" s="3" t="s">
        <v>844</v>
      </c>
      <c r="B80" s="3" t="s">
        <v>16</v>
      </c>
      <c r="C80" s="3">
        <v>85</v>
      </c>
      <c r="D80" s="4">
        <v>46218</v>
      </c>
      <c r="E80" s="3" t="s">
        <v>841</v>
      </c>
      <c r="F80" s="3" t="s">
        <v>926</v>
      </c>
      <c r="G80" s="3" t="s">
        <v>871</v>
      </c>
      <c r="H80" s="20">
        <v>81</v>
      </c>
      <c r="I80" s="3" t="s">
        <v>883</v>
      </c>
      <c r="J80" s="3" t="s">
        <v>502</v>
      </c>
    </row>
    <row r="81" spans="1:10" s="3" customFormat="1" x14ac:dyDescent="0.25">
      <c r="A81" s="3" t="s">
        <v>599</v>
      </c>
      <c r="B81" s="3" t="s">
        <v>16</v>
      </c>
      <c r="C81" s="3">
        <v>86</v>
      </c>
      <c r="D81" s="4">
        <v>46218</v>
      </c>
      <c r="E81" s="3" t="s">
        <v>115</v>
      </c>
      <c r="F81" s="3" t="s">
        <v>927</v>
      </c>
      <c r="G81" s="3" t="s">
        <v>871</v>
      </c>
      <c r="H81" s="20">
        <v>127</v>
      </c>
      <c r="I81" s="3" t="s">
        <v>885</v>
      </c>
      <c r="J81" s="3" t="s">
        <v>502</v>
      </c>
    </row>
    <row r="82" spans="1:10" s="3" customFormat="1" x14ac:dyDescent="0.25">
      <c r="A82" s="3" t="s">
        <v>767</v>
      </c>
      <c r="B82" s="3" t="s">
        <v>16</v>
      </c>
      <c r="C82" s="3">
        <v>87</v>
      </c>
      <c r="D82" s="4">
        <v>46218</v>
      </c>
      <c r="E82" s="3" t="s">
        <v>343</v>
      </c>
      <c r="F82" s="3" t="s">
        <v>928</v>
      </c>
      <c r="G82" s="3" t="s">
        <v>871</v>
      </c>
      <c r="H82" s="20">
        <v>2500</v>
      </c>
      <c r="I82" s="3" t="s">
        <v>874</v>
      </c>
      <c r="J82" s="3" t="s">
        <v>502</v>
      </c>
    </row>
    <row r="83" spans="1:10" s="3" customFormat="1" x14ac:dyDescent="0.25">
      <c r="A83" s="3" t="s">
        <v>768</v>
      </c>
      <c r="B83" s="3" t="s">
        <v>16</v>
      </c>
      <c r="C83" s="3">
        <v>88</v>
      </c>
      <c r="D83" s="4">
        <v>46218</v>
      </c>
      <c r="E83" s="3" t="s">
        <v>343</v>
      </c>
      <c r="F83" s="3" t="s">
        <v>928</v>
      </c>
      <c r="G83" s="3" t="s">
        <v>871</v>
      </c>
      <c r="H83" s="20">
        <v>2250</v>
      </c>
      <c r="I83" s="3" t="s">
        <v>875</v>
      </c>
      <c r="J83" s="3" t="s">
        <v>502</v>
      </c>
    </row>
    <row r="84" spans="1:10" s="3" customFormat="1" x14ac:dyDescent="0.25">
      <c r="A84" s="3" t="s">
        <v>769</v>
      </c>
      <c r="B84" s="3" t="s">
        <v>16</v>
      </c>
      <c r="C84" s="3">
        <v>89</v>
      </c>
      <c r="D84" s="4">
        <v>46218</v>
      </c>
      <c r="E84" s="3" t="s">
        <v>343</v>
      </c>
      <c r="F84" s="3" t="s">
        <v>928</v>
      </c>
      <c r="G84" s="3" t="s">
        <v>871</v>
      </c>
      <c r="H84" s="20">
        <v>2000</v>
      </c>
      <c r="I84" s="3" t="s">
        <v>876</v>
      </c>
      <c r="J84" s="3" t="s">
        <v>502</v>
      </c>
    </row>
    <row r="85" spans="1:10" s="3" customFormat="1" x14ac:dyDescent="0.25">
      <c r="A85" s="3" t="s">
        <v>775</v>
      </c>
      <c r="B85" s="3" t="s">
        <v>16</v>
      </c>
      <c r="C85" s="3">
        <v>90</v>
      </c>
      <c r="D85" s="4">
        <v>46218</v>
      </c>
      <c r="E85" s="3" t="s">
        <v>350</v>
      </c>
      <c r="F85" s="3" t="s">
        <v>929</v>
      </c>
      <c r="G85" s="3" t="s">
        <v>871</v>
      </c>
      <c r="H85" s="20">
        <v>6750</v>
      </c>
      <c r="I85" s="3" t="s">
        <v>872</v>
      </c>
      <c r="J85" s="3" t="s">
        <v>502</v>
      </c>
    </row>
    <row r="86" spans="1:10" s="3" customFormat="1" x14ac:dyDescent="0.25">
      <c r="A86" s="3" t="s">
        <v>778</v>
      </c>
      <c r="B86" s="3" t="s">
        <v>16</v>
      </c>
      <c r="C86" s="3">
        <v>91</v>
      </c>
      <c r="D86" s="4">
        <v>46218</v>
      </c>
      <c r="E86" s="3" t="s">
        <v>357</v>
      </c>
      <c r="F86" s="3" t="s">
        <v>930</v>
      </c>
      <c r="G86" s="3" t="s">
        <v>871</v>
      </c>
      <c r="H86" s="20">
        <v>-123</v>
      </c>
      <c r="I86" s="3" t="s">
        <v>880</v>
      </c>
      <c r="J86" s="3" t="s">
        <v>502</v>
      </c>
    </row>
    <row r="87" spans="1:10" s="3" customFormat="1" x14ac:dyDescent="0.25">
      <c r="A87" s="3" t="s">
        <v>779</v>
      </c>
      <c r="B87" s="3" t="s">
        <v>16</v>
      </c>
      <c r="C87" s="3">
        <v>92</v>
      </c>
      <c r="D87" s="4">
        <v>46218</v>
      </c>
      <c r="E87" s="3" t="s">
        <v>357</v>
      </c>
      <c r="F87" s="3" t="s">
        <v>930</v>
      </c>
      <c r="G87" s="3" t="s">
        <v>871</v>
      </c>
      <c r="H87" s="20">
        <v>-177</v>
      </c>
      <c r="I87" s="3" t="s">
        <v>881</v>
      </c>
      <c r="J87" s="3" t="s">
        <v>502</v>
      </c>
    </row>
    <row r="88" spans="1:10" s="3" customFormat="1" x14ac:dyDescent="0.25">
      <c r="A88" s="3" t="s">
        <v>783</v>
      </c>
      <c r="B88" s="3" t="s">
        <v>16</v>
      </c>
      <c r="C88" s="3">
        <v>93</v>
      </c>
      <c r="D88" s="4">
        <v>46218</v>
      </c>
      <c r="E88" s="3" t="s">
        <v>363</v>
      </c>
      <c r="F88" s="3" t="s">
        <v>931</v>
      </c>
      <c r="G88" s="3" t="s">
        <v>871</v>
      </c>
      <c r="H88" s="20">
        <v>-300</v>
      </c>
      <c r="I88" s="3" t="s">
        <v>878</v>
      </c>
      <c r="J88" s="3" t="s">
        <v>502</v>
      </c>
    </row>
    <row r="89" spans="1:10" s="3" customFormat="1" x14ac:dyDescent="0.25">
      <c r="A89" s="3" t="s">
        <v>848</v>
      </c>
      <c r="B89" s="3" t="s">
        <v>16</v>
      </c>
      <c r="C89" s="3">
        <v>94</v>
      </c>
      <c r="D89" s="4">
        <v>46218</v>
      </c>
      <c r="E89" s="3" t="s">
        <v>846</v>
      </c>
      <c r="F89" s="3" t="s">
        <v>932</v>
      </c>
      <c r="G89" s="3" t="s">
        <v>871</v>
      </c>
      <c r="H89" s="20">
        <v>81</v>
      </c>
      <c r="I89" s="3" t="s">
        <v>883</v>
      </c>
      <c r="J89" s="3" t="s">
        <v>502</v>
      </c>
    </row>
    <row r="90" spans="1:10" s="3" customFormat="1" x14ac:dyDescent="0.25">
      <c r="A90" s="3" t="s">
        <v>849</v>
      </c>
      <c r="B90" s="3" t="s">
        <v>16</v>
      </c>
      <c r="C90" s="3">
        <v>95</v>
      </c>
      <c r="D90" s="4">
        <v>46218</v>
      </c>
      <c r="E90" s="3" t="s">
        <v>846</v>
      </c>
      <c r="F90" s="3" t="s">
        <v>932</v>
      </c>
      <c r="G90" s="3" t="s">
        <v>871</v>
      </c>
      <c r="H90" s="20">
        <v>81</v>
      </c>
      <c r="I90" s="3" t="s">
        <v>883</v>
      </c>
      <c r="J90" s="3" t="s">
        <v>502</v>
      </c>
    </row>
    <row r="91" spans="1:10" s="3" customFormat="1" x14ac:dyDescent="0.25">
      <c r="A91" s="3" t="s">
        <v>601</v>
      </c>
      <c r="B91" s="3" t="s">
        <v>16</v>
      </c>
      <c r="C91" s="3">
        <v>96</v>
      </c>
      <c r="D91" s="4">
        <v>46218</v>
      </c>
      <c r="E91" s="3" t="s">
        <v>119</v>
      </c>
      <c r="F91" s="3" t="s">
        <v>933</v>
      </c>
      <c r="G91" s="3" t="s">
        <v>871</v>
      </c>
      <c r="H91" s="20">
        <v>127</v>
      </c>
      <c r="I91" s="3" t="s">
        <v>885</v>
      </c>
      <c r="J91" s="3" t="s">
        <v>502</v>
      </c>
    </row>
    <row r="92" spans="1:10" s="3" customFormat="1" x14ac:dyDescent="0.25">
      <c r="A92" s="3" t="s">
        <v>787</v>
      </c>
      <c r="B92" s="3" t="s">
        <v>16</v>
      </c>
      <c r="C92" s="3">
        <v>97</v>
      </c>
      <c r="D92" s="4">
        <v>46218</v>
      </c>
      <c r="E92" s="3" t="s">
        <v>369</v>
      </c>
      <c r="F92" s="3" t="s">
        <v>934</v>
      </c>
      <c r="G92" s="3" t="s">
        <v>871</v>
      </c>
      <c r="H92" s="20">
        <v>2500</v>
      </c>
      <c r="I92" s="3" t="s">
        <v>874</v>
      </c>
      <c r="J92" s="3" t="s">
        <v>502</v>
      </c>
    </row>
    <row r="93" spans="1:10" s="3" customFormat="1" x14ac:dyDescent="0.25">
      <c r="A93" s="3" t="s">
        <v>788</v>
      </c>
      <c r="B93" s="3" t="s">
        <v>16</v>
      </c>
      <c r="C93" s="3">
        <v>98</v>
      </c>
      <c r="D93" s="4">
        <v>46218</v>
      </c>
      <c r="E93" s="3" t="s">
        <v>369</v>
      </c>
      <c r="F93" s="3" t="s">
        <v>934</v>
      </c>
      <c r="G93" s="3" t="s">
        <v>871</v>
      </c>
      <c r="H93" s="20">
        <v>2250</v>
      </c>
      <c r="I93" s="3" t="s">
        <v>875</v>
      </c>
      <c r="J93" s="3" t="s">
        <v>502</v>
      </c>
    </row>
    <row r="94" spans="1:10" s="3" customFormat="1" x14ac:dyDescent="0.25">
      <c r="A94" s="3" t="s">
        <v>789</v>
      </c>
      <c r="B94" s="3" t="s">
        <v>16</v>
      </c>
      <c r="C94" s="3">
        <v>99</v>
      </c>
      <c r="D94" s="4">
        <v>46218</v>
      </c>
      <c r="E94" s="3" t="s">
        <v>369</v>
      </c>
      <c r="F94" s="3" t="s">
        <v>934</v>
      </c>
      <c r="G94" s="3" t="s">
        <v>871</v>
      </c>
      <c r="H94" s="20">
        <v>2000</v>
      </c>
      <c r="I94" s="3" t="s">
        <v>876</v>
      </c>
      <c r="J94" s="3" t="s">
        <v>502</v>
      </c>
    </row>
    <row r="95" spans="1:10" s="3" customFormat="1" x14ac:dyDescent="0.25">
      <c r="A95" s="3" t="s">
        <v>795</v>
      </c>
      <c r="B95" s="3" t="s">
        <v>16</v>
      </c>
      <c r="C95" s="3">
        <v>100</v>
      </c>
      <c r="D95" s="4">
        <v>46218</v>
      </c>
      <c r="E95" s="3" t="s">
        <v>376</v>
      </c>
      <c r="F95" s="3" t="s">
        <v>935</v>
      </c>
      <c r="G95" s="3" t="s">
        <v>871</v>
      </c>
      <c r="H95" s="20">
        <v>6750</v>
      </c>
      <c r="I95" s="3" t="s">
        <v>872</v>
      </c>
      <c r="J95" s="3" t="s">
        <v>502</v>
      </c>
    </row>
    <row r="96" spans="1:10" s="3" customFormat="1" x14ac:dyDescent="0.25">
      <c r="A96" s="3" t="s">
        <v>798</v>
      </c>
      <c r="B96" s="3" t="s">
        <v>16</v>
      </c>
      <c r="C96" s="3">
        <v>101</v>
      </c>
      <c r="D96" s="4">
        <v>46218</v>
      </c>
      <c r="E96" s="3" t="s">
        <v>383</v>
      </c>
      <c r="F96" s="3" t="s">
        <v>936</v>
      </c>
      <c r="G96" s="3" t="s">
        <v>871</v>
      </c>
      <c r="H96" s="20">
        <v>-123</v>
      </c>
      <c r="I96" s="3" t="s">
        <v>880</v>
      </c>
      <c r="J96" s="3" t="s">
        <v>502</v>
      </c>
    </row>
    <row r="97" spans="1:10" s="3" customFormat="1" x14ac:dyDescent="0.25">
      <c r="A97" s="3" t="s">
        <v>799</v>
      </c>
      <c r="B97" s="3" t="s">
        <v>16</v>
      </c>
      <c r="C97" s="3">
        <v>102</v>
      </c>
      <c r="D97" s="4">
        <v>46218</v>
      </c>
      <c r="E97" s="3" t="s">
        <v>383</v>
      </c>
      <c r="F97" s="3" t="s">
        <v>936</v>
      </c>
      <c r="G97" s="3" t="s">
        <v>871</v>
      </c>
      <c r="H97" s="20">
        <v>-177</v>
      </c>
      <c r="I97" s="3" t="s">
        <v>881</v>
      </c>
      <c r="J97" s="3" t="s">
        <v>502</v>
      </c>
    </row>
    <row r="98" spans="1:10" s="3" customFormat="1" x14ac:dyDescent="0.25">
      <c r="A98" s="3" t="s">
        <v>803</v>
      </c>
      <c r="B98" s="3" t="s">
        <v>16</v>
      </c>
      <c r="C98" s="3">
        <v>103</v>
      </c>
      <c r="D98" s="4">
        <v>46218</v>
      </c>
      <c r="E98" s="3" t="s">
        <v>389</v>
      </c>
      <c r="F98" s="3" t="s">
        <v>937</v>
      </c>
      <c r="G98" s="3" t="s">
        <v>871</v>
      </c>
      <c r="H98" s="20">
        <v>-300</v>
      </c>
      <c r="I98" s="3" t="s">
        <v>878</v>
      </c>
      <c r="J98" s="3" t="s">
        <v>502</v>
      </c>
    </row>
    <row r="99" spans="1:10" s="3" customFormat="1" x14ac:dyDescent="0.25">
      <c r="A99" s="3" t="s">
        <v>853</v>
      </c>
      <c r="B99" s="3" t="s">
        <v>16</v>
      </c>
      <c r="C99" s="3">
        <v>104</v>
      </c>
      <c r="D99" s="4">
        <v>46218</v>
      </c>
      <c r="E99" s="3" t="s">
        <v>851</v>
      </c>
      <c r="F99" s="3" t="s">
        <v>938</v>
      </c>
      <c r="G99" s="3" t="s">
        <v>871</v>
      </c>
      <c r="H99" s="20">
        <v>81</v>
      </c>
      <c r="I99" s="3" t="s">
        <v>883</v>
      </c>
      <c r="J99" s="3" t="s">
        <v>502</v>
      </c>
    </row>
    <row r="100" spans="1:10" s="3" customFormat="1" x14ac:dyDescent="0.25">
      <c r="A100" s="3" t="s">
        <v>854</v>
      </c>
      <c r="B100" s="3" t="s">
        <v>16</v>
      </c>
      <c r="C100" s="3">
        <v>105</v>
      </c>
      <c r="D100" s="4">
        <v>46218</v>
      </c>
      <c r="E100" s="3" t="s">
        <v>851</v>
      </c>
      <c r="F100" s="3" t="s">
        <v>938</v>
      </c>
      <c r="G100" s="3" t="s">
        <v>871</v>
      </c>
      <c r="H100" s="20">
        <v>81</v>
      </c>
      <c r="I100" s="3" t="s">
        <v>883</v>
      </c>
      <c r="J100" s="3" t="s">
        <v>502</v>
      </c>
    </row>
    <row r="101" spans="1:10" s="3" customFormat="1" x14ac:dyDescent="0.25">
      <c r="A101" s="3" t="s">
        <v>603</v>
      </c>
      <c r="B101" s="3" t="s">
        <v>16</v>
      </c>
      <c r="C101" s="3">
        <v>106</v>
      </c>
      <c r="D101" s="4">
        <v>46218</v>
      </c>
      <c r="E101" s="3" t="s">
        <v>123</v>
      </c>
      <c r="F101" s="3" t="s">
        <v>939</v>
      </c>
      <c r="G101" s="3" t="s">
        <v>871</v>
      </c>
      <c r="H101" s="20">
        <v>127</v>
      </c>
      <c r="I101" s="3" t="s">
        <v>885</v>
      </c>
      <c r="J101" s="3" t="s">
        <v>502</v>
      </c>
    </row>
  </sheetData>
  <autoFilter ref="A1:J101"/>
  <pageMargins left="0.7" right="0.7" top="0.75" bottom="0.75" header="0.3" footer="0.3"/>
  <pageSetup orientation="landscape" horizontalDpi="4294967295" verticalDpi="4294967295" scale="100"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3"/>
  <sheetViews>
    <sheetView workbookViewId="0" rightToLeft="1">
      <pane ySplit="1" topLeftCell="A2" activePane="bottomLeft" state="frozen"/>
      <selection pane="bottomLeft"/>
    </sheetView>
  </sheetViews>
  <sheetFormatPr defaultRowHeight="15" outlineLevelRow="0" outlineLevelCol="0" x14ac:dyDescent="55"/>
  <cols>
    <col min="1" max="2" width="16" customWidth="1"/>
    <col min="3" max="3" width="20" customWidth="1"/>
    <col min="4" max="4" width="45" customWidth="1"/>
  </cols>
  <sheetData>
    <row r="1" ht="28" customHeight="1" spans="1:4" s="22" customFormat="1" x14ac:dyDescent="0.25">
      <c r="A1" s="22" t="s">
        <v>940</v>
      </c>
      <c r="B1" s="22" t="s">
        <v>862</v>
      </c>
      <c r="C1" s="22" t="s">
        <v>941</v>
      </c>
      <c r="D1" s="22" t="s">
        <v>942</v>
      </c>
    </row>
    <row r="2" spans="1:4" s="3" customFormat="1" x14ac:dyDescent="0.25">
      <c r="A2" s="3" t="s">
        <v>943</v>
      </c>
      <c r="B2" s="3">
        <v>1</v>
      </c>
      <c r="C2" s="3" t="s">
        <v>944</v>
      </c>
      <c r="D2" s="3" t="s">
        <v>945</v>
      </c>
    </row>
    <row r="3" spans="1:4" s="3" customFormat="1" x14ac:dyDescent="0.25">
      <c r="A3" s="3" t="s">
        <v>943</v>
      </c>
      <c r="B3" s="3">
        <v>2</v>
      </c>
      <c r="C3" s="3" t="s">
        <v>944</v>
      </c>
      <c r="D3" s="3" t="s">
        <v>946</v>
      </c>
    </row>
    <row r="4" spans="1:4" s="3" customFormat="1" x14ac:dyDescent="0.25">
      <c r="A4" s="3" t="s">
        <v>943</v>
      </c>
      <c r="B4" s="3">
        <v>3</v>
      </c>
      <c r="C4" s="3" t="s">
        <v>944</v>
      </c>
      <c r="D4" s="3" t="s">
        <v>947</v>
      </c>
    </row>
    <row r="5" spans="1:4" s="3" customFormat="1" x14ac:dyDescent="0.25">
      <c r="A5" s="3" t="s">
        <v>943</v>
      </c>
      <c r="B5" s="3">
        <v>4</v>
      </c>
      <c r="C5" s="3" t="s">
        <v>944</v>
      </c>
      <c r="D5" s="3" t="s">
        <v>948</v>
      </c>
    </row>
    <row r="6" spans="1:4" s="3" customFormat="1" x14ac:dyDescent="0.25">
      <c r="A6" s="3" t="s">
        <v>943</v>
      </c>
      <c r="B6" s="3">
        <v>5</v>
      </c>
      <c r="C6" s="3" t="s">
        <v>944</v>
      </c>
      <c r="D6" s="3" t="s">
        <v>949</v>
      </c>
    </row>
    <row r="7" spans="1:4" s="3" customFormat="1" x14ac:dyDescent="0.25">
      <c r="A7" s="3" t="s">
        <v>943</v>
      </c>
      <c r="B7" s="3">
        <v>6</v>
      </c>
      <c r="C7" s="3" t="s">
        <v>950</v>
      </c>
      <c r="D7" s="3" t="s">
        <v>951</v>
      </c>
    </row>
    <row r="8" spans="1:4" s="3" customFormat="1" x14ac:dyDescent="0.25">
      <c r="A8" s="3" t="s">
        <v>952</v>
      </c>
      <c r="B8" s="3">
        <v>1</v>
      </c>
      <c r="C8" s="3" t="s">
        <v>944</v>
      </c>
      <c r="D8" s="3" t="s">
        <v>945</v>
      </c>
    </row>
    <row r="9" spans="1:4" s="3" customFormat="1" x14ac:dyDescent="0.25">
      <c r="A9" s="3" t="s">
        <v>952</v>
      </c>
      <c r="B9" s="3">
        <v>2</v>
      </c>
      <c r="C9" s="3" t="s">
        <v>944</v>
      </c>
      <c r="D9" s="3" t="s">
        <v>946</v>
      </c>
    </row>
    <row r="10" spans="1:4" s="3" customFormat="1" x14ac:dyDescent="0.25">
      <c r="A10" s="3" t="s">
        <v>952</v>
      </c>
      <c r="B10" s="3">
        <v>3</v>
      </c>
      <c r="C10" s="3" t="s">
        <v>944</v>
      </c>
      <c r="D10" s="3" t="s">
        <v>947</v>
      </c>
    </row>
    <row r="11" spans="1:4" s="3" customFormat="1" x14ac:dyDescent="0.25">
      <c r="A11" s="3" t="s">
        <v>952</v>
      </c>
      <c r="B11" s="3">
        <v>4</v>
      </c>
      <c r="C11" s="3" t="s">
        <v>944</v>
      </c>
      <c r="D11" s="3" t="s">
        <v>948</v>
      </c>
    </row>
    <row r="12" spans="1:4" s="3" customFormat="1" x14ac:dyDescent="0.25">
      <c r="A12" s="3" t="s">
        <v>952</v>
      </c>
      <c r="B12" s="3">
        <v>5</v>
      </c>
      <c r="C12" s="3" t="s">
        <v>944</v>
      </c>
      <c r="D12" s="3" t="s">
        <v>949</v>
      </c>
    </row>
    <row r="13" spans="1:4" s="3" customFormat="1" x14ac:dyDescent="0.25">
      <c r="A13" s="3" t="s">
        <v>952</v>
      </c>
      <c r="B13" s="3">
        <v>6</v>
      </c>
      <c r="C13" s="3" t="s">
        <v>950</v>
      </c>
      <c r="D13" s="3" t="s">
        <v>951</v>
      </c>
    </row>
  </sheetData>
  <autoFilter ref="A1:D13"/>
  <pageMargins left="0.7" right="0.7" top="0.75" bottom="0.75" header="0.3" footer="0.3"/>
  <pageSetup orientation="landscape" horizontalDpi="4294967295" verticalDpi="4294967295" scale="100"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6"/>
  <sheetViews>
    <sheetView workbookViewId="0" rightToLeft="1">
      <pane ySplit="1" topLeftCell="A2" activePane="bottomLeft" state="frozen"/>
      <selection pane="bottomLeft"/>
    </sheetView>
  </sheetViews>
  <sheetFormatPr defaultRowHeight="15" outlineLevelRow="0" outlineLevelCol="0" x14ac:dyDescent="55"/>
  <cols>
    <col min="1" max="1" width="33" customWidth="1"/>
    <col min="2" max="2" width="45" customWidth="1"/>
  </cols>
  <sheetData>
    <row r="1" ht="28" customHeight="1" spans="1:2" s="22" customFormat="1" x14ac:dyDescent="0.25">
      <c r="A1" s="22" t="s">
        <v>953</v>
      </c>
      <c r="B1" s="22" t="s">
        <v>954</v>
      </c>
    </row>
    <row r="2" spans="1:2" s="3" customFormat="1" x14ac:dyDescent="0.25">
      <c r="A2" s="3" t="s">
        <v>955</v>
      </c>
      <c r="B2" s="3" t="s">
        <v>956</v>
      </c>
    </row>
    <row r="3" spans="1:2" s="3" customFormat="1" x14ac:dyDescent="0.25">
      <c r="A3" s="3" t="s">
        <v>957</v>
      </c>
      <c r="B3" s="3" t="s">
        <v>958</v>
      </c>
    </row>
    <row r="4" spans="1:2" s="3" customFormat="1" x14ac:dyDescent="0.25">
      <c r="A4" s="3" t="s">
        <v>959</v>
      </c>
      <c r="B4" s="3" t="s">
        <v>958</v>
      </c>
    </row>
    <row r="5" spans="1:2" s="3" customFormat="1" x14ac:dyDescent="0.25">
      <c r="A5" s="3" t="s">
        <v>960</v>
      </c>
      <c r="B5" s="3" t="s">
        <v>961</v>
      </c>
    </row>
    <row r="6" spans="1:2" s="3" customFormat="1" x14ac:dyDescent="0.25">
      <c r="A6" s="3" t="s">
        <v>962</v>
      </c>
      <c r="B6" s="3" t="s">
        <v>961</v>
      </c>
    </row>
    <row r="7" spans="1:2" s="3" customFormat="1" x14ac:dyDescent="0.25">
      <c r="A7" s="3" t="s">
        <v>963</v>
      </c>
      <c r="B7" s="3" t="s">
        <v>964</v>
      </c>
    </row>
    <row r="8" spans="1:2" s="3" customFormat="1" x14ac:dyDescent="0.25">
      <c r="A8" s="3" t="s">
        <v>965</v>
      </c>
      <c r="B8" s="3" t="s">
        <v>964</v>
      </c>
    </row>
    <row r="9" spans="1:2" s="3" customFormat="1" x14ac:dyDescent="0.25">
      <c r="A9" s="3" t="s">
        <v>966</v>
      </c>
      <c r="B9" s="3" t="s">
        <v>967</v>
      </c>
    </row>
    <row r="10" spans="1:2" s="3" customFormat="1" x14ac:dyDescent="0.25">
      <c r="A10" s="3" t="s">
        <v>968</v>
      </c>
      <c r="B10" s="3" t="s">
        <v>969</v>
      </c>
    </row>
    <row r="11" spans="1:2" s="3" customFormat="1" x14ac:dyDescent="0.25">
      <c r="A11" s="3" t="s">
        <v>970</v>
      </c>
      <c r="B11" s="3" t="s">
        <v>971</v>
      </c>
    </row>
    <row r="12" spans="1:2" s="3" customFormat="1" x14ac:dyDescent="0.25">
      <c r="A12" s="3" t="s">
        <v>972</v>
      </c>
      <c r="B12" s="3" t="s">
        <v>973</v>
      </c>
    </row>
    <row r="13" spans="1:2" s="3" customFormat="1" x14ac:dyDescent="0.25">
      <c r="A13" s="3" t="s">
        <v>974</v>
      </c>
      <c r="B13" s="3" t="s">
        <v>975</v>
      </c>
    </row>
    <row r="14" spans="1:2" s="3" customFormat="1" x14ac:dyDescent="0.25">
      <c r="A14" s="3" t="s">
        <v>976</v>
      </c>
      <c r="B14" s="3" t="s">
        <v>502</v>
      </c>
    </row>
    <row r="15" spans="1:2" s="3" customFormat="1" x14ac:dyDescent="0.25">
      <c r="A15" s="3" t="s">
        <v>977</v>
      </c>
      <c r="B15" s="3" t="s">
        <v>502</v>
      </c>
    </row>
    <row r="16" spans="1:2" s="3" customFormat="1" x14ac:dyDescent="0.25">
      <c r="A16" s="3" t="s">
        <v>978</v>
      </c>
      <c r="B16" s="3" t="s">
        <v>979</v>
      </c>
    </row>
  </sheetData>
  <autoFilter ref="A1:B16"/>
  <pageMargins left="0.7" right="0.7" top="0.75" bottom="0.75" header="0.3" footer="0.3"/>
  <pageSetup orientation="landscape" horizontalDpi="4294967295" verticalDpi="4294967295" scale="100"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07"/>
  <sheetViews>
    <sheetView workbookViewId="0" rightToLeft="1">
      <pane ySplit="1" topLeftCell="A2" activePane="bottomLeft" state="frozen"/>
      <selection pane="bottomLeft"/>
    </sheetView>
  </sheetViews>
  <sheetFormatPr defaultRowHeight="15" outlineLevelRow="0" outlineLevelCol="0" x14ac:dyDescent="55"/>
  <cols>
    <col min="1" max="1" width="16" customWidth="1"/>
    <col min="2" max="2" width="18" customWidth="1"/>
    <col min="3" max="3" width="30" customWidth="1"/>
    <col min="4" max="7" width="16" customWidth="1"/>
    <col min="8" max="8" width="28" customWidth="1"/>
    <col min="9" max="10" width="16" customWidth="1"/>
  </cols>
  <sheetData>
    <row r="1" ht="28" customHeight="1" spans="1:10" s="22" customFormat="1" x14ac:dyDescent="0.25">
      <c r="A1" s="22" t="s">
        <v>862</v>
      </c>
      <c r="B1" s="22" t="s">
        <v>980</v>
      </c>
      <c r="C1" s="22" t="s">
        <v>981</v>
      </c>
      <c r="D1" s="22" t="s">
        <v>982</v>
      </c>
      <c r="E1" s="22" t="s">
        <v>983</v>
      </c>
      <c r="F1" s="22" t="s">
        <v>984</v>
      </c>
      <c r="G1" s="22" t="s">
        <v>985</v>
      </c>
      <c r="H1" s="22" t="s">
        <v>986</v>
      </c>
      <c r="I1" s="22" t="s">
        <v>987</v>
      </c>
      <c r="J1" s="22" t="s">
        <v>988</v>
      </c>
    </row>
    <row r="2" spans="1:3" s="3" customFormat="1" x14ac:dyDescent="0.25">
      <c r="A2" s="3">
        <v>1</v>
      </c>
      <c r="B2" s="3" t="s">
        <v>4</v>
      </c>
      <c r="C2" s="3" t="s">
        <v>5</v>
      </c>
    </row>
    <row r="3" spans="1:3" s="3" customFormat="1" x14ac:dyDescent="0.25">
      <c r="A3" s="3">
        <v>2</v>
      </c>
      <c r="B3" s="3" t="s">
        <v>989</v>
      </c>
      <c r="C3" s="3" t="s">
        <v>7</v>
      </c>
    </row>
    <row r="4" spans="1:3" s="3" customFormat="1" x14ac:dyDescent="0.25">
      <c r="A4" s="3">
        <v>3</v>
      </c>
      <c r="B4" s="3" t="s">
        <v>990</v>
      </c>
      <c r="C4" s="3" t="s">
        <v>19</v>
      </c>
    </row>
    <row r="5" spans="1:3" s="3" customFormat="1" x14ac:dyDescent="0.25">
      <c r="A5" s="3">
        <v>4</v>
      </c>
      <c r="B5" s="3" t="s">
        <v>8</v>
      </c>
      <c r="C5" s="3" t="s">
        <v>9</v>
      </c>
    </row>
    <row r="6" spans="1:3" s="3" customFormat="1" x14ac:dyDescent="0.25">
      <c r="A6" s="3">
        <v>5</v>
      </c>
      <c r="B6" s="3" t="s">
        <v>991</v>
      </c>
      <c r="C6" s="3" t="s">
        <v>992</v>
      </c>
    </row>
    <row r="7" spans="1:10" s="3" customFormat="1" x14ac:dyDescent="0.25">
      <c r="A7" s="3">
        <v>6</v>
      </c>
      <c r="B7" s="3" t="s">
        <v>471</v>
      </c>
      <c r="C7" s="3" t="s">
        <v>993</v>
      </c>
      <c r="D7" s="3" t="s">
        <v>472</v>
      </c>
      <c r="E7" s="3" t="s">
        <v>994</v>
      </c>
      <c r="F7" s="3" t="s">
        <v>995</v>
      </c>
      <c r="G7" s="3" t="s">
        <v>577</v>
      </c>
      <c r="H7" s="3" t="s">
        <v>475</v>
      </c>
      <c r="I7" s="3" t="s">
        <v>476</v>
      </c>
      <c r="J7" s="3" t="s">
        <v>8</v>
      </c>
    </row>
    <row r="8" spans="1:10" s="3" customFormat="1" x14ac:dyDescent="0.25">
      <c r="A8" s="3">
        <v>7</v>
      </c>
      <c r="B8" s="3" t="s">
        <v>996</v>
      </c>
      <c r="C8" s="3" t="s">
        <v>128</v>
      </c>
      <c r="D8" s="3" t="s">
        <v>997</v>
      </c>
      <c r="E8" s="3" t="s">
        <v>605</v>
      </c>
      <c r="F8" s="3" t="s">
        <v>606</v>
      </c>
      <c r="G8" s="3" t="s">
        <v>502</v>
      </c>
      <c r="H8" s="3" t="s">
        <v>871</v>
      </c>
      <c r="I8" s="3" t="s">
        <v>872</v>
      </c>
      <c r="J8" s="3" t="s">
        <v>9</v>
      </c>
    </row>
    <row r="9" spans="1:10" s="3" customFormat="1" x14ac:dyDescent="0.25">
      <c r="A9" s="3">
        <v>8</v>
      </c>
      <c r="B9" s="3" t="s">
        <v>996</v>
      </c>
      <c r="C9" s="3" t="s">
        <v>138</v>
      </c>
      <c r="D9" s="3" t="s">
        <v>997</v>
      </c>
      <c r="E9" s="3" t="s">
        <v>611</v>
      </c>
      <c r="F9" s="3" t="s">
        <v>612</v>
      </c>
      <c r="G9" s="3" t="s">
        <v>502</v>
      </c>
      <c r="H9" s="3" t="s">
        <v>871</v>
      </c>
      <c r="I9" s="3" t="s">
        <v>874</v>
      </c>
      <c r="J9" s="3" t="s">
        <v>9</v>
      </c>
    </row>
    <row r="10" spans="1:10" s="3" customFormat="1" x14ac:dyDescent="0.25">
      <c r="A10" s="3">
        <v>9</v>
      </c>
      <c r="B10" s="3" t="s">
        <v>996</v>
      </c>
      <c r="C10" s="3" t="s">
        <v>138</v>
      </c>
      <c r="D10" s="3" t="s">
        <v>997</v>
      </c>
      <c r="E10" s="3" t="s">
        <v>611</v>
      </c>
      <c r="F10" s="3" t="s">
        <v>612</v>
      </c>
      <c r="G10" s="3" t="s">
        <v>502</v>
      </c>
      <c r="H10" s="3" t="s">
        <v>871</v>
      </c>
      <c r="I10" s="3" t="s">
        <v>875</v>
      </c>
      <c r="J10" s="3" t="s">
        <v>9</v>
      </c>
    </row>
    <row r="11" spans="1:10" s="3" customFormat="1" x14ac:dyDescent="0.25">
      <c r="A11" s="3">
        <v>10</v>
      </c>
      <c r="B11" s="3" t="s">
        <v>996</v>
      </c>
      <c r="C11" s="3" t="s">
        <v>138</v>
      </c>
      <c r="D11" s="3" t="s">
        <v>997</v>
      </c>
      <c r="E11" s="3" t="s">
        <v>611</v>
      </c>
      <c r="F11" s="3" t="s">
        <v>612</v>
      </c>
      <c r="G11" s="3" t="s">
        <v>502</v>
      </c>
      <c r="H11" s="3" t="s">
        <v>871</v>
      </c>
      <c r="I11" s="3" t="s">
        <v>876</v>
      </c>
      <c r="J11" s="3" t="s">
        <v>9</v>
      </c>
    </row>
    <row r="12" spans="1:10" s="3" customFormat="1" x14ac:dyDescent="0.25">
      <c r="A12" s="3">
        <v>11</v>
      </c>
      <c r="B12" s="3" t="s">
        <v>996</v>
      </c>
      <c r="C12" s="3" t="s">
        <v>617</v>
      </c>
      <c r="D12" s="3" t="s">
        <v>998</v>
      </c>
      <c r="E12" s="3" t="s">
        <v>502</v>
      </c>
      <c r="F12" s="3" t="s">
        <v>502</v>
      </c>
      <c r="G12" s="3" t="s">
        <v>146</v>
      </c>
      <c r="H12" s="3" t="s">
        <v>871</v>
      </c>
      <c r="I12" s="3" t="s">
        <v>878</v>
      </c>
      <c r="J12" s="3" t="s">
        <v>9</v>
      </c>
    </row>
    <row r="13" spans="1:10" s="3" customFormat="1" x14ac:dyDescent="0.25">
      <c r="A13" s="3">
        <v>12</v>
      </c>
      <c r="B13" s="3" t="s">
        <v>996</v>
      </c>
      <c r="C13" s="3" t="s">
        <v>621</v>
      </c>
      <c r="D13" s="3" t="s">
        <v>998</v>
      </c>
      <c r="E13" s="3" t="s">
        <v>502</v>
      </c>
      <c r="F13" s="3" t="s">
        <v>502</v>
      </c>
      <c r="G13" s="3" t="s">
        <v>154</v>
      </c>
      <c r="H13" s="3" t="s">
        <v>871</v>
      </c>
      <c r="I13" s="3" t="s">
        <v>880</v>
      </c>
      <c r="J13" s="3" t="s">
        <v>9</v>
      </c>
    </row>
    <row r="14" spans="1:10" s="3" customFormat="1" x14ac:dyDescent="0.25">
      <c r="A14" s="3">
        <v>13</v>
      </c>
      <c r="B14" s="3" t="s">
        <v>996</v>
      </c>
      <c r="C14" s="3" t="s">
        <v>621</v>
      </c>
      <c r="D14" s="3" t="s">
        <v>998</v>
      </c>
      <c r="E14" s="3" t="s">
        <v>502</v>
      </c>
      <c r="F14" s="3" t="s">
        <v>502</v>
      </c>
      <c r="G14" s="3" t="s">
        <v>154</v>
      </c>
      <c r="H14" s="3" t="s">
        <v>871</v>
      </c>
      <c r="I14" s="3" t="s">
        <v>881</v>
      </c>
      <c r="J14" s="3" t="s">
        <v>9</v>
      </c>
    </row>
    <row r="15" spans="1:10" s="3" customFormat="1" x14ac:dyDescent="0.25">
      <c r="A15" s="3">
        <v>14</v>
      </c>
      <c r="B15" s="3" t="s">
        <v>996</v>
      </c>
      <c r="C15" s="3" t="s">
        <v>806</v>
      </c>
      <c r="D15" s="3" t="s">
        <v>997</v>
      </c>
      <c r="E15" s="3" t="s">
        <v>502</v>
      </c>
      <c r="F15" s="3" t="s">
        <v>502</v>
      </c>
      <c r="G15" s="3" t="s">
        <v>502</v>
      </c>
      <c r="H15" s="3" t="s">
        <v>871</v>
      </c>
      <c r="I15" s="3" t="s">
        <v>883</v>
      </c>
      <c r="J15" s="3" t="s">
        <v>9</v>
      </c>
    </row>
    <row r="16" spans="1:10" s="3" customFormat="1" x14ac:dyDescent="0.25">
      <c r="A16" s="3">
        <v>15</v>
      </c>
      <c r="B16" s="3" t="s">
        <v>996</v>
      </c>
      <c r="C16" s="3" t="s">
        <v>806</v>
      </c>
      <c r="D16" s="3" t="s">
        <v>997</v>
      </c>
      <c r="E16" s="3" t="s">
        <v>502</v>
      </c>
      <c r="F16" s="3" t="s">
        <v>502</v>
      </c>
      <c r="G16" s="3" t="s">
        <v>502</v>
      </c>
      <c r="H16" s="3" t="s">
        <v>871</v>
      </c>
      <c r="I16" s="3" t="s">
        <v>883</v>
      </c>
      <c r="J16" s="3" t="s">
        <v>9</v>
      </c>
    </row>
    <row r="17" spans="1:10" s="3" customFormat="1" x14ac:dyDescent="0.25">
      <c r="A17" s="3">
        <v>16</v>
      </c>
      <c r="B17" s="3" t="s">
        <v>996</v>
      </c>
      <c r="C17" s="3" t="s">
        <v>82</v>
      </c>
      <c r="D17" s="3" t="s">
        <v>997</v>
      </c>
      <c r="E17" s="3" t="s">
        <v>502</v>
      </c>
      <c r="F17" s="3" t="s">
        <v>502</v>
      </c>
      <c r="G17" s="3" t="s">
        <v>502</v>
      </c>
      <c r="H17" s="3" t="s">
        <v>871</v>
      </c>
      <c r="I17" s="3" t="s">
        <v>885</v>
      </c>
      <c r="J17" s="3" t="s">
        <v>9</v>
      </c>
    </row>
    <row r="18" spans="1:10" s="3" customFormat="1" x14ac:dyDescent="0.25">
      <c r="A18" s="3">
        <v>17</v>
      </c>
      <c r="B18" s="3" t="s">
        <v>996</v>
      </c>
      <c r="C18" s="3" t="s">
        <v>161</v>
      </c>
      <c r="D18" s="3" t="s">
        <v>997</v>
      </c>
      <c r="E18" s="3" t="s">
        <v>625</v>
      </c>
      <c r="F18" s="3" t="s">
        <v>626</v>
      </c>
      <c r="G18" s="3" t="s">
        <v>502</v>
      </c>
      <c r="H18" s="3" t="s">
        <v>871</v>
      </c>
      <c r="I18" s="3" t="s">
        <v>872</v>
      </c>
      <c r="J18" s="3" t="s">
        <v>9</v>
      </c>
    </row>
    <row r="19" spans="1:10" s="3" customFormat="1" x14ac:dyDescent="0.25">
      <c r="A19" s="3">
        <v>18</v>
      </c>
      <c r="B19" s="3" t="s">
        <v>996</v>
      </c>
      <c r="C19" s="3" t="s">
        <v>168</v>
      </c>
      <c r="D19" s="3" t="s">
        <v>997</v>
      </c>
      <c r="E19" s="3" t="s">
        <v>631</v>
      </c>
      <c r="F19" s="3" t="s">
        <v>632</v>
      </c>
      <c r="G19" s="3" t="s">
        <v>502</v>
      </c>
      <c r="H19" s="3" t="s">
        <v>871</v>
      </c>
      <c r="I19" s="3" t="s">
        <v>874</v>
      </c>
      <c r="J19" s="3" t="s">
        <v>9</v>
      </c>
    </row>
    <row r="20" spans="1:10" s="3" customFormat="1" x14ac:dyDescent="0.25">
      <c r="A20" s="3">
        <v>19</v>
      </c>
      <c r="B20" s="3" t="s">
        <v>996</v>
      </c>
      <c r="C20" s="3" t="s">
        <v>168</v>
      </c>
      <c r="D20" s="3" t="s">
        <v>997</v>
      </c>
      <c r="E20" s="3" t="s">
        <v>631</v>
      </c>
      <c r="F20" s="3" t="s">
        <v>632</v>
      </c>
      <c r="G20" s="3" t="s">
        <v>502</v>
      </c>
      <c r="H20" s="3" t="s">
        <v>871</v>
      </c>
      <c r="I20" s="3" t="s">
        <v>875</v>
      </c>
      <c r="J20" s="3" t="s">
        <v>9</v>
      </c>
    </row>
    <row r="21" spans="1:10" s="3" customFormat="1" x14ac:dyDescent="0.25">
      <c r="A21" s="3">
        <v>20</v>
      </c>
      <c r="B21" s="3" t="s">
        <v>996</v>
      </c>
      <c r="C21" s="3" t="s">
        <v>168</v>
      </c>
      <c r="D21" s="3" t="s">
        <v>997</v>
      </c>
      <c r="E21" s="3" t="s">
        <v>631</v>
      </c>
      <c r="F21" s="3" t="s">
        <v>632</v>
      </c>
      <c r="G21" s="3" t="s">
        <v>502</v>
      </c>
      <c r="H21" s="3" t="s">
        <v>871</v>
      </c>
      <c r="I21" s="3" t="s">
        <v>876</v>
      </c>
      <c r="J21" s="3" t="s">
        <v>9</v>
      </c>
    </row>
    <row r="22" spans="1:10" s="3" customFormat="1" x14ac:dyDescent="0.25">
      <c r="A22" s="3">
        <v>21</v>
      </c>
      <c r="B22" s="3" t="s">
        <v>996</v>
      </c>
      <c r="C22" s="3" t="s">
        <v>637</v>
      </c>
      <c r="D22" s="3" t="s">
        <v>998</v>
      </c>
      <c r="E22" s="3" t="s">
        <v>502</v>
      </c>
      <c r="F22" s="3" t="s">
        <v>502</v>
      </c>
      <c r="G22" s="3" t="s">
        <v>175</v>
      </c>
      <c r="H22" s="3" t="s">
        <v>871</v>
      </c>
      <c r="I22" s="3" t="s">
        <v>878</v>
      </c>
      <c r="J22" s="3" t="s">
        <v>9</v>
      </c>
    </row>
    <row r="23" spans="1:10" s="3" customFormat="1" x14ac:dyDescent="0.25">
      <c r="A23" s="3">
        <v>22</v>
      </c>
      <c r="B23" s="3" t="s">
        <v>996</v>
      </c>
      <c r="C23" s="3" t="s">
        <v>641</v>
      </c>
      <c r="D23" s="3" t="s">
        <v>998</v>
      </c>
      <c r="E23" s="3" t="s">
        <v>502</v>
      </c>
      <c r="F23" s="3" t="s">
        <v>502</v>
      </c>
      <c r="G23" s="3" t="s">
        <v>181</v>
      </c>
      <c r="H23" s="3" t="s">
        <v>871</v>
      </c>
      <c r="I23" s="3" t="s">
        <v>880</v>
      </c>
      <c r="J23" s="3" t="s">
        <v>9</v>
      </c>
    </row>
    <row r="24" spans="1:10" s="3" customFormat="1" x14ac:dyDescent="0.25">
      <c r="A24" s="3">
        <v>23</v>
      </c>
      <c r="B24" s="3" t="s">
        <v>996</v>
      </c>
      <c r="C24" s="3" t="s">
        <v>641</v>
      </c>
      <c r="D24" s="3" t="s">
        <v>998</v>
      </c>
      <c r="E24" s="3" t="s">
        <v>502</v>
      </c>
      <c r="F24" s="3" t="s">
        <v>502</v>
      </c>
      <c r="G24" s="3" t="s">
        <v>181</v>
      </c>
      <c r="H24" s="3" t="s">
        <v>871</v>
      </c>
      <c r="I24" s="3" t="s">
        <v>881</v>
      </c>
      <c r="J24" s="3" t="s">
        <v>9</v>
      </c>
    </row>
    <row r="25" spans="1:10" s="3" customFormat="1" x14ac:dyDescent="0.25">
      <c r="A25" s="3">
        <v>24</v>
      </c>
      <c r="B25" s="3" t="s">
        <v>996</v>
      </c>
      <c r="C25" s="3" t="s">
        <v>811</v>
      </c>
      <c r="D25" s="3" t="s">
        <v>997</v>
      </c>
      <c r="E25" s="3" t="s">
        <v>502</v>
      </c>
      <c r="F25" s="3" t="s">
        <v>502</v>
      </c>
      <c r="G25" s="3" t="s">
        <v>502</v>
      </c>
      <c r="H25" s="3" t="s">
        <v>871</v>
      </c>
      <c r="I25" s="3" t="s">
        <v>883</v>
      </c>
      <c r="J25" s="3" t="s">
        <v>9</v>
      </c>
    </row>
    <row r="26" spans="1:10" s="3" customFormat="1" x14ac:dyDescent="0.25">
      <c r="A26" s="3">
        <v>25</v>
      </c>
      <c r="B26" s="3" t="s">
        <v>996</v>
      </c>
      <c r="C26" s="3" t="s">
        <v>811</v>
      </c>
      <c r="D26" s="3" t="s">
        <v>997</v>
      </c>
      <c r="E26" s="3" t="s">
        <v>502</v>
      </c>
      <c r="F26" s="3" t="s">
        <v>502</v>
      </c>
      <c r="G26" s="3" t="s">
        <v>502</v>
      </c>
      <c r="H26" s="3" t="s">
        <v>871</v>
      </c>
      <c r="I26" s="3" t="s">
        <v>883</v>
      </c>
      <c r="J26" s="3" t="s">
        <v>9</v>
      </c>
    </row>
    <row r="27" spans="1:10" s="3" customFormat="1" x14ac:dyDescent="0.25">
      <c r="A27" s="3">
        <v>26</v>
      </c>
      <c r="B27" s="3" t="s">
        <v>996</v>
      </c>
      <c r="C27" s="3" t="s">
        <v>91</v>
      </c>
      <c r="D27" s="3" t="s">
        <v>997</v>
      </c>
      <c r="E27" s="3" t="s">
        <v>502</v>
      </c>
      <c r="F27" s="3" t="s">
        <v>502</v>
      </c>
      <c r="G27" s="3" t="s">
        <v>502</v>
      </c>
      <c r="H27" s="3" t="s">
        <v>871</v>
      </c>
      <c r="I27" s="3" t="s">
        <v>885</v>
      </c>
      <c r="J27" s="3" t="s">
        <v>9</v>
      </c>
    </row>
    <row r="28" spans="1:10" s="3" customFormat="1" x14ac:dyDescent="0.25">
      <c r="A28" s="3">
        <v>27</v>
      </c>
      <c r="B28" s="3" t="s">
        <v>996</v>
      </c>
      <c r="C28" s="3" t="s">
        <v>187</v>
      </c>
      <c r="D28" s="3" t="s">
        <v>997</v>
      </c>
      <c r="E28" s="3" t="s">
        <v>645</v>
      </c>
      <c r="F28" s="3" t="s">
        <v>646</v>
      </c>
      <c r="G28" s="3" t="s">
        <v>502</v>
      </c>
      <c r="H28" s="3" t="s">
        <v>871</v>
      </c>
      <c r="I28" s="3" t="s">
        <v>872</v>
      </c>
      <c r="J28" s="3" t="s">
        <v>9</v>
      </c>
    </row>
    <row r="29" spans="1:10" s="3" customFormat="1" x14ac:dyDescent="0.25">
      <c r="A29" s="3">
        <v>28</v>
      </c>
      <c r="B29" s="3" t="s">
        <v>996</v>
      </c>
      <c r="C29" s="3" t="s">
        <v>194</v>
      </c>
      <c r="D29" s="3" t="s">
        <v>997</v>
      </c>
      <c r="E29" s="3" t="s">
        <v>651</v>
      </c>
      <c r="F29" s="3" t="s">
        <v>652</v>
      </c>
      <c r="G29" s="3" t="s">
        <v>502</v>
      </c>
      <c r="H29" s="3" t="s">
        <v>871</v>
      </c>
      <c r="I29" s="3" t="s">
        <v>874</v>
      </c>
      <c r="J29" s="3" t="s">
        <v>9</v>
      </c>
    </row>
    <row r="30" spans="1:10" s="3" customFormat="1" x14ac:dyDescent="0.25">
      <c r="A30" s="3">
        <v>29</v>
      </c>
      <c r="B30" s="3" t="s">
        <v>996</v>
      </c>
      <c r="C30" s="3" t="s">
        <v>194</v>
      </c>
      <c r="D30" s="3" t="s">
        <v>997</v>
      </c>
      <c r="E30" s="3" t="s">
        <v>651</v>
      </c>
      <c r="F30" s="3" t="s">
        <v>652</v>
      </c>
      <c r="G30" s="3" t="s">
        <v>502</v>
      </c>
      <c r="H30" s="3" t="s">
        <v>871</v>
      </c>
      <c r="I30" s="3" t="s">
        <v>875</v>
      </c>
      <c r="J30" s="3" t="s">
        <v>9</v>
      </c>
    </row>
    <row r="31" spans="1:10" s="3" customFormat="1" x14ac:dyDescent="0.25">
      <c r="A31" s="3">
        <v>30</v>
      </c>
      <c r="B31" s="3" t="s">
        <v>996</v>
      </c>
      <c r="C31" s="3" t="s">
        <v>194</v>
      </c>
      <c r="D31" s="3" t="s">
        <v>997</v>
      </c>
      <c r="E31" s="3" t="s">
        <v>651</v>
      </c>
      <c r="F31" s="3" t="s">
        <v>652</v>
      </c>
      <c r="G31" s="3" t="s">
        <v>502</v>
      </c>
      <c r="H31" s="3" t="s">
        <v>871</v>
      </c>
      <c r="I31" s="3" t="s">
        <v>876</v>
      </c>
      <c r="J31" s="3" t="s">
        <v>9</v>
      </c>
    </row>
    <row r="32" spans="1:10" s="3" customFormat="1" x14ac:dyDescent="0.25">
      <c r="A32" s="3">
        <v>31</v>
      </c>
      <c r="B32" s="3" t="s">
        <v>996</v>
      </c>
      <c r="C32" s="3" t="s">
        <v>657</v>
      </c>
      <c r="D32" s="3" t="s">
        <v>998</v>
      </c>
      <c r="E32" s="3" t="s">
        <v>502</v>
      </c>
      <c r="F32" s="3" t="s">
        <v>502</v>
      </c>
      <c r="G32" s="3" t="s">
        <v>201</v>
      </c>
      <c r="H32" s="3" t="s">
        <v>871</v>
      </c>
      <c r="I32" s="3" t="s">
        <v>878</v>
      </c>
      <c r="J32" s="3" t="s">
        <v>9</v>
      </c>
    </row>
    <row r="33" spans="1:10" s="3" customFormat="1" x14ac:dyDescent="0.25">
      <c r="A33" s="3">
        <v>32</v>
      </c>
      <c r="B33" s="3" t="s">
        <v>996</v>
      </c>
      <c r="C33" s="3" t="s">
        <v>661</v>
      </c>
      <c r="D33" s="3" t="s">
        <v>998</v>
      </c>
      <c r="E33" s="3" t="s">
        <v>502</v>
      </c>
      <c r="F33" s="3" t="s">
        <v>502</v>
      </c>
      <c r="G33" s="3" t="s">
        <v>207</v>
      </c>
      <c r="H33" s="3" t="s">
        <v>871</v>
      </c>
      <c r="I33" s="3" t="s">
        <v>880</v>
      </c>
      <c r="J33" s="3" t="s">
        <v>9</v>
      </c>
    </row>
    <row r="34" spans="1:10" s="3" customFormat="1" x14ac:dyDescent="0.25">
      <c r="A34" s="3">
        <v>33</v>
      </c>
      <c r="B34" s="3" t="s">
        <v>996</v>
      </c>
      <c r="C34" s="3" t="s">
        <v>661</v>
      </c>
      <c r="D34" s="3" t="s">
        <v>998</v>
      </c>
      <c r="E34" s="3" t="s">
        <v>502</v>
      </c>
      <c r="F34" s="3" t="s">
        <v>502</v>
      </c>
      <c r="G34" s="3" t="s">
        <v>207</v>
      </c>
      <c r="H34" s="3" t="s">
        <v>871</v>
      </c>
      <c r="I34" s="3" t="s">
        <v>881</v>
      </c>
      <c r="J34" s="3" t="s">
        <v>9</v>
      </c>
    </row>
    <row r="35" spans="1:10" s="3" customFormat="1" x14ac:dyDescent="0.25">
      <c r="A35" s="3">
        <v>34</v>
      </c>
      <c r="B35" s="3" t="s">
        <v>996</v>
      </c>
      <c r="C35" s="3" t="s">
        <v>816</v>
      </c>
      <c r="D35" s="3" t="s">
        <v>997</v>
      </c>
      <c r="E35" s="3" t="s">
        <v>502</v>
      </c>
      <c r="F35" s="3" t="s">
        <v>502</v>
      </c>
      <c r="G35" s="3" t="s">
        <v>502</v>
      </c>
      <c r="H35" s="3" t="s">
        <v>871</v>
      </c>
      <c r="I35" s="3" t="s">
        <v>883</v>
      </c>
      <c r="J35" s="3" t="s">
        <v>9</v>
      </c>
    </row>
    <row r="36" spans="1:10" s="3" customFormat="1" x14ac:dyDescent="0.25">
      <c r="A36" s="3">
        <v>35</v>
      </c>
      <c r="B36" s="3" t="s">
        <v>996</v>
      </c>
      <c r="C36" s="3" t="s">
        <v>816</v>
      </c>
      <c r="D36" s="3" t="s">
        <v>997</v>
      </c>
      <c r="E36" s="3" t="s">
        <v>502</v>
      </c>
      <c r="F36" s="3" t="s">
        <v>502</v>
      </c>
      <c r="G36" s="3" t="s">
        <v>502</v>
      </c>
      <c r="H36" s="3" t="s">
        <v>871</v>
      </c>
      <c r="I36" s="3" t="s">
        <v>883</v>
      </c>
      <c r="J36" s="3" t="s">
        <v>9</v>
      </c>
    </row>
    <row r="37" spans="1:10" s="3" customFormat="1" x14ac:dyDescent="0.25">
      <c r="A37" s="3">
        <v>36</v>
      </c>
      <c r="B37" s="3" t="s">
        <v>996</v>
      </c>
      <c r="C37" s="3" t="s">
        <v>95</v>
      </c>
      <c r="D37" s="3" t="s">
        <v>997</v>
      </c>
      <c r="E37" s="3" t="s">
        <v>502</v>
      </c>
      <c r="F37" s="3" t="s">
        <v>502</v>
      </c>
      <c r="G37" s="3" t="s">
        <v>502</v>
      </c>
      <c r="H37" s="3" t="s">
        <v>871</v>
      </c>
      <c r="I37" s="3" t="s">
        <v>885</v>
      </c>
      <c r="J37" s="3" t="s">
        <v>9</v>
      </c>
    </row>
    <row r="38" spans="1:10" s="3" customFormat="1" x14ac:dyDescent="0.25">
      <c r="A38" s="3">
        <v>37</v>
      </c>
      <c r="B38" s="3" t="s">
        <v>996</v>
      </c>
      <c r="C38" s="3" t="s">
        <v>213</v>
      </c>
      <c r="D38" s="3" t="s">
        <v>997</v>
      </c>
      <c r="E38" s="3" t="s">
        <v>665</v>
      </c>
      <c r="F38" s="3" t="s">
        <v>666</v>
      </c>
      <c r="G38" s="3" t="s">
        <v>502</v>
      </c>
      <c r="H38" s="3" t="s">
        <v>871</v>
      </c>
      <c r="I38" s="3" t="s">
        <v>872</v>
      </c>
      <c r="J38" s="3" t="s">
        <v>9</v>
      </c>
    </row>
    <row r="39" spans="1:10" s="3" customFormat="1" x14ac:dyDescent="0.25">
      <c r="A39" s="3">
        <v>38</v>
      </c>
      <c r="B39" s="3" t="s">
        <v>996</v>
      </c>
      <c r="C39" s="3" t="s">
        <v>220</v>
      </c>
      <c r="D39" s="3" t="s">
        <v>997</v>
      </c>
      <c r="E39" s="3" t="s">
        <v>671</v>
      </c>
      <c r="F39" s="3" t="s">
        <v>672</v>
      </c>
      <c r="G39" s="3" t="s">
        <v>502</v>
      </c>
      <c r="H39" s="3" t="s">
        <v>871</v>
      </c>
      <c r="I39" s="3" t="s">
        <v>874</v>
      </c>
      <c r="J39" s="3" t="s">
        <v>9</v>
      </c>
    </row>
    <row r="40" spans="1:10" s="3" customFormat="1" x14ac:dyDescent="0.25">
      <c r="A40" s="3">
        <v>39</v>
      </c>
      <c r="B40" s="3" t="s">
        <v>996</v>
      </c>
      <c r="C40" s="3" t="s">
        <v>220</v>
      </c>
      <c r="D40" s="3" t="s">
        <v>997</v>
      </c>
      <c r="E40" s="3" t="s">
        <v>671</v>
      </c>
      <c r="F40" s="3" t="s">
        <v>672</v>
      </c>
      <c r="G40" s="3" t="s">
        <v>502</v>
      </c>
      <c r="H40" s="3" t="s">
        <v>871</v>
      </c>
      <c r="I40" s="3" t="s">
        <v>875</v>
      </c>
      <c r="J40" s="3" t="s">
        <v>9</v>
      </c>
    </row>
    <row r="41" spans="1:10" s="3" customFormat="1" x14ac:dyDescent="0.25">
      <c r="A41" s="3">
        <v>40</v>
      </c>
      <c r="B41" s="3" t="s">
        <v>996</v>
      </c>
      <c r="C41" s="3" t="s">
        <v>220</v>
      </c>
      <c r="D41" s="3" t="s">
        <v>997</v>
      </c>
      <c r="E41" s="3" t="s">
        <v>671</v>
      </c>
      <c r="F41" s="3" t="s">
        <v>672</v>
      </c>
      <c r="G41" s="3" t="s">
        <v>502</v>
      </c>
      <c r="H41" s="3" t="s">
        <v>871</v>
      </c>
      <c r="I41" s="3" t="s">
        <v>876</v>
      </c>
      <c r="J41" s="3" t="s">
        <v>9</v>
      </c>
    </row>
    <row r="42" spans="1:10" s="3" customFormat="1" x14ac:dyDescent="0.25">
      <c r="A42" s="3">
        <v>41</v>
      </c>
      <c r="B42" s="3" t="s">
        <v>996</v>
      </c>
      <c r="C42" s="3" t="s">
        <v>677</v>
      </c>
      <c r="D42" s="3" t="s">
        <v>998</v>
      </c>
      <c r="E42" s="3" t="s">
        <v>502</v>
      </c>
      <c r="F42" s="3" t="s">
        <v>502</v>
      </c>
      <c r="G42" s="3" t="s">
        <v>227</v>
      </c>
      <c r="H42" s="3" t="s">
        <v>871</v>
      </c>
      <c r="I42" s="3" t="s">
        <v>878</v>
      </c>
      <c r="J42" s="3" t="s">
        <v>9</v>
      </c>
    </row>
    <row r="43" spans="1:10" s="3" customFormat="1" x14ac:dyDescent="0.25">
      <c r="A43" s="3">
        <v>42</v>
      </c>
      <c r="B43" s="3" t="s">
        <v>996</v>
      </c>
      <c r="C43" s="3" t="s">
        <v>681</v>
      </c>
      <c r="D43" s="3" t="s">
        <v>998</v>
      </c>
      <c r="E43" s="3" t="s">
        <v>502</v>
      </c>
      <c r="F43" s="3" t="s">
        <v>502</v>
      </c>
      <c r="G43" s="3" t="s">
        <v>233</v>
      </c>
      <c r="H43" s="3" t="s">
        <v>871</v>
      </c>
      <c r="I43" s="3" t="s">
        <v>880</v>
      </c>
      <c r="J43" s="3" t="s">
        <v>9</v>
      </c>
    </row>
    <row r="44" spans="1:10" s="3" customFormat="1" x14ac:dyDescent="0.25">
      <c r="A44" s="3">
        <v>43</v>
      </c>
      <c r="B44" s="3" t="s">
        <v>996</v>
      </c>
      <c r="C44" s="3" t="s">
        <v>681</v>
      </c>
      <c r="D44" s="3" t="s">
        <v>998</v>
      </c>
      <c r="E44" s="3" t="s">
        <v>502</v>
      </c>
      <c r="F44" s="3" t="s">
        <v>502</v>
      </c>
      <c r="G44" s="3" t="s">
        <v>233</v>
      </c>
      <c r="H44" s="3" t="s">
        <v>871</v>
      </c>
      <c r="I44" s="3" t="s">
        <v>881</v>
      </c>
      <c r="J44" s="3" t="s">
        <v>9</v>
      </c>
    </row>
    <row r="45" spans="1:10" s="3" customFormat="1" x14ac:dyDescent="0.25">
      <c r="A45" s="3">
        <v>44</v>
      </c>
      <c r="B45" s="3" t="s">
        <v>996</v>
      </c>
      <c r="C45" s="3" t="s">
        <v>821</v>
      </c>
      <c r="D45" s="3" t="s">
        <v>997</v>
      </c>
      <c r="E45" s="3" t="s">
        <v>502</v>
      </c>
      <c r="F45" s="3" t="s">
        <v>502</v>
      </c>
      <c r="G45" s="3" t="s">
        <v>502</v>
      </c>
      <c r="H45" s="3" t="s">
        <v>871</v>
      </c>
      <c r="I45" s="3" t="s">
        <v>883</v>
      </c>
      <c r="J45" s="3" t="s">
        <v>9</v>
      </c>
    </row>
    <row r="46" spans="1:10" s="3" customFormat="1" x14ac:dyDescent="0.25">
      <c r="A46" s="3">
        <v>45</v>
      </c>
      <c r="B46" s="3" t="s">
        <v>996</v>
      </c>
      <c r="C46" s="3" t="s">
        <v>821</v>
      </c>
      <c r="D46" s="3" t="s">
        <v>997</v>
      </c>
      <c r="E46" s="3" t="s">
        <v>502</v>
      </c>
      <c r="F46" s="3" t="s">
        <v>502</v>
      </c>
      <c r="G46" s="3" t="s">
        <v>502</v>
      </c>
      <c r="H46" s="3" t="s">
        <v>871</v>
      </c>
      <c r="I46" s="3" t="s">
        <v>883</v>
      </c>
      <c r="J46" s="3" t="s">
        <v>9</v>
      </c>
    </row>
    <row r="47" spans="1:10" s="3" customFormat="1" x14ac:dyDescent="0.25">
      <c r="A47" s="3">
        <v>46</v>
      </c>
      <c r="B47" s="3" t="s">
        <v>996</v>
      </c>
      <c r="C47" s="3" t="s">
        <v>99</v>
      </c>
      <c r="D47" s="3" t="s">
        <v>997</v>
      </c>
      <c r="E47" s="3" t="s">
        <v>502</v>
      </c>
      <c r="F47" s="3" t="s">
        <v>502</v>
      </c>
      <c r="G47" s="3" t="s">
        <v>502</v>
      </c>
      <c r="H47" s="3" t="s">
        <v>871</v>
      </c>
      <c r="I47" s="3" t="s">
        <v>885</v>
      </c>
      <c r="J47" s="3" t="s">
        <v>9</v>
      </c>
    </row>
    <row r="48" spans="1:10" s="3" customFormat="1" x14ac:dyDescent="0.25">
      <c r="A48" s="3">
        <v>47</v>
      </c>
      <c r="B48" s="3" t="s">
        <v>996</v>
      </c>
      <c r="C48" s="3" t="s">
        <v>239</v>
      </c>
      <c r="D48" s="3" t="s">
        <v>997</v>
      </c>
      <c r="E48" s="3" t="s">
        <v>685</v>
      </c>
      <c r="F48" s="3" t="s">
        <v>686</v>
      </c>
      <c r="G48" s="3" t="s">
        <v>502</v>
      </c>
      <c r="H48" s="3" t="s">
        <v>871</v>
      </c>
      <c r="I48" s="3" t="s">
        <v>872</v>
      </c>
      <c r="J48" s="3" t="s">
        <v>9</v>
      </c>
    </row>
    <row r="49" spans="1:10" s="3" customFormat="1" x14ac:dyDescent="0.25">
      <c r="A49" s="3">
        <v>48</v>
      </c>
      <c r="B49" s="3" t="s">
        <v>996</v>
      </c>
      <c r="C49" s="3" t="s">
        <v>246</v>
      </c>
      <c r="D49" s="3" t="s">
        <v>997</v>
      </c>
      <c r="E49" s="3" t="s">
        <v>691</v>
      </c>
      <c r="F49" s="3" t="s">
        <v>692</v>
      </c>
      <c r="G49" s="3" t="s">
        <v>502</v>
      </c>
      <c r="H49" s="3" t="s">
        <v>871</v>
      </c>
      <c r="I49" s="3" t="s">
        <v>874</v>
      </c>
      <c r="J49" s="3" t="s">
        <v>9</v>
      </c>
    </row>
    <row r="50" spans="1:10" s="3" customFormat="1" x14ac:dyDescent="0.25">
      <c r="A50" s="3">
        <v>49</v>
      </c>
      <c r="B50" s="3" t="s">
        <v>996</v>
      </c>
      <c r="C50" s="3" t="s">
        <v>246</v>
      </c>
      <c r="D50" s="3" t="s">
        <v>997</v>
      </c>
      <c r="E50" s="3" t="s">
        <v>691</v>
      </c>
      <c r="F50" s="3" t="s">
        <v>692</v>
      </c>
      <c r="G50" s="3" t="s">
        <v>502</v>
      </c>
      <c r="H50" s="3" t="s">
        <v>871</v>
      </c>
      <c r="I50" s="3" t="s">
        <v>875</v>
      </c>
      <c r="J50" s="3" t="s">
        <v>9</v>
      </c>
    </row>
    <row r="51" spans="1:10" s="3" customFormat="1" x14ac:dyDescent="0.25">
      <c r="A51" s="3">
        <v>50</v>
      </c>
      <c r="B51" s="3" t="s">
        <v>996</v>
      </c>
      <c r="C51" s="3" t="s">
        <v>246</v>
      </c>
      <c r="D51" s="3" t="s">
        <v>997</v>
      </c>
      <c r="E51" s="3" t="s">
        <v>691</v>
      </c>
      <c r="F51" s="3" t="s">
        <v>692</v>
      </c>
      <c r="G51" s="3" t="s">
        <v>502</v>
      </c>
      <c r="H51" s="3" t="s">
        <v>871</v>
      </c>
      <c r="I51" s="3" t="s">
        <v>876</v>
      </c>
      <c r="J51" s="3" t="s">
        <v>9</v>
      </c>
    </row>
    <row r="52" spans="1:10" s="3" customFormat="1" x14ac:dyDescent="0.25">
      <c r="A52" s="3">
        <v>51</v>
      </c>
      <c r="B52" s="3" t="s">
        <v>996</v>
      </c>
      <c r="C52" s="3" t="s">
        <v>697</v>
      </c>
      <c r="D52" s="3" t="s">
        <v>998</v>
      </c>
      <c r="E52" s="3" t="s">
        <v>502</v>
      </c>
      <c r="F52" s="3" t="s">
        <v>502</v>
      </c>
      <c r="G52" s="3" t="s">
        <v>253</v>
      </c>
      <c r="H52" s="3" t="s">
        <v>871</v>
      </c>
      <c r="I52" s="3" t="s">
        <v>878</v>
      </c>
      <c r="J52" s="3" t="s">
        <v>9</v>
      </c>
    </row>
    <row r="53" spans="1:10" s="3" customFormat="1" x14ac:dyDescent="0.25">
      <c r="A53" s="3">
        <v>52</v>
      </c>
      <c r="B53" s="3" t="s">
        <v>996</v>
      </c>
      <c r="C53" s="3" t="s">
        <v>701</v>
      </c>
      <c r="D53" s="3" t="s">
        <v>998</v>
      </c>
      <c r="E53" s="3" t="s">
        <v>502</v>
      </c>
      <c r="F53" s="3" t="s">
        <v>502</v>
      </c>
      <c r="G53" s="3" t="s">
        <v>259</v>
      </c>
      <c r="H53" s="3" t="s">
        <v>871</v>
      </c>
      <c r="I53" s="3" t="s">
        <v>880</v>
      </c>
      <c r="J53" s="3" t="s">
        <v>9</v>
      </c>
    </row>
    <row r="54" spans="1:10" s="3" customFormat="1" x14ac:dyDescent="0.25">
      <c r="A54" s="3">
        <v>53</v>
      </c>
      <c r="B54" s="3" t="s">
        <v>996</v>
      </c>
      <c r="C54" s="3" t="s">
        <v>701</v>
      </c>
      <c r="D54" s="3" t="s">
        <v>998</v>
      </c>
      <c r="E54" s="3" t="s">
        <v>502</v>
      </c>
      <c r="F54" s="3" t="s">
        <v>502</v>
      </c>
      <c r="G54" s="3" t="s">
        <v>259</v>
      </c>
      <c r="H54" s="3" t="s">
        <v>871</v>
      </c>
      <c r="I54" s="3" t="s">
        <v>881</v>
      </c>
      <c r="J54" s="3" t="s">
        <v>9</v>
      </c>
    </row>
    <row r="55" spans="1:10" s="3" customFormat="1" x14ac:dyDescent="0.25">
      <c r="A55" s="3">
        <v>54</v>
      </c>
      <c r="B55" s="3" t="s">
        <v>996</v>
      </c>
      <c r="C55" s="3" t="s">
        <v>826</v>
      </c>
      <c r="D55" s="3" t="s">
        <v>997</v>
      </c>
      <c r="E55" s="3" t="s">
        <v>502</v>
      </c>
      <c r="F55" s="3" t="s">
        <v>502</v>
      </c>
      <c r="G55" s="3" t="s">
        <v>502</v>
      </c>
      <c r="H55" s="3" t="s">
        <v>871</v>
      </c>
      <c r="I55" s="3" t="s">
        <v>883</v>
      </c>
      <c r="J55" s="3" t="s">
        <v>9</v>
      </c>
    </row>
    <row r="56" spans="1:10" s="3" customFormat="1" x14ac:dyDescent="0.25">
      <c r="A56" s="3">
        <v>55</v>
      </c>
      <c r="B56" s="3" t="s">
        <v>996</v>
      </c>
      <c r="C56" s="3" t="s">
        <v>826</v>
      </c>
      <c r="D56" s="3" t="s">
        <v>997</v>
      </c>
      <c r="E56" s="3" t="s">
        <v>502</v>
      </c>
      <c r="F56" s="3" t="s">
        <v>502</v>
      </c>
      <c r="G56" s="3" t="s">
        <v>502</v>
      </c>
      <c r="H56" s="3" t="s">
        <v>871</v>
      </c>
      <c r="I56" s="3" t="s">
        <v>883</v>
      </c>
      <c r="J56" s="3" t="s">
        <v>9</v>
      </c>
    </row>
    <row r="57" spans="1:10" s="3" customFormat="1" x14ac:dyDescent="0.25">
      <c r="A57" s="3">
        <v>56</v>
      </c>
      <c r="B57" s="3" t="s">
        <v>996</v>
      </c>
      <c r="C57" s="3" t="s">
        <v>103</v>
      </c>
      <c r="D57" s="3" t="s">
        <v>997</v>
      </c>
      <c r="E57" s="3" t="s">
        <v>502</v>
      </c>
      <c r="F57" s="3" t="s">
        <v>502</v>
      </c>
      <c r="G57" s="3" t="s">
        <v>502</v>
      </c>
      <c r="H57" s="3" t="s">
        <v>871</v>
      </c>
      <c r="I57" s="3" t="s">
        <v>885</v>
      </c>
      <c r="J57" s="3" t="s">
        <v>9</v>
      </c>
    </row>
    <row r="58" spans="1:10" s="3" customFormat="1" x14ac:dyDescent="0.25">
      <c r="A58" s="3">
        <v>57</v>
      </c>
      <c r="B58" s="3" t="s">
        <v>996</v>
      </c>
      <c r="C58" s="3" t="s">
        <v>265</v>
      </c>
      <c r="D58" s="3" t="s">
        <v>997</v>
      </c>
      <c r="E58" s="3" t="s">
        <v>705</v>
      </c>
      <c r="F58" s="3" t="s">
        <v>706</v>
      </c>
      <c r="G58" s="3" t="s">
        <v>502</v>
      </c>
      <c r="H58" s="3" t="s">
        <v>871</v>
      </c>
      <c r="I58" s="3" t="s">
        <v>872</v>
      </c>
      <c r="J58" s="3" t="s">
        <v>9</v>
      </c>
    </row>
    <row r="59" spans="1:10" s="3" customFormat="1" x14ac:dyDescent="0.25">
      <c r="A59" s="3">
        <v>58</v>
      </c>
      <c r="B59" s="3" t="s">
        <v>996</v>
      </c>
      <c r="C59" s="3" t="s">
        <v>272</v>
      </c>
      <c r="D59" s="3" t="s">
        <v>997</v>
      </c>
      <c r="E59" s="3" t="s">
        <v>711</v>
      </c>
      <c r="F59" s="3" t="s">
        <v>712</v>
      </c>
      <c r="G59" s="3" t="s">
        <v>502</v>
      </c>
      <c r="H59" s="3" t="s">
        <v>871</v>
      </c>
      <c r="I59" s="3" t="s">
        <v>874</v>
      </c>
      <c r="J59" s="3" t="s">
        <v>9</v>
      </c>
    </row>
    <row r="60" spans="1:10" s="3" customFormat="1" x14ac:dyDescent="0.25">
      <c r="A60" s="3">
        <v>59</v>
      </c>
      <c r="B60" s="3" t="s">
        <v>996</v>
      </c>
      <c r="C60" s="3" t="s">
        <v>272</v>
      </c>
      <c r="D60" s="3" t="s">
        <v>997</v>
      </c>
      <c r="E60" s="3" t="s">
        <v>711</v>
      </c>
      <c r="F60" s="3" t="s">
        <v>712</v>
      </c>
      <c r="G60" s="3" t="s">
        <v>502</v>
      </c>
      <c r="H60" s="3" t="s">
        <v>871</v>
      </c>
      <c r="I60" s="3" t="s">
        <v>875</v>
      </c>
      <c r="J60" s="3" t="s">
        <v>9</v>
      </c>
    </row>
    <row r="61" spans="1:10" s="3" customFormat="1" x14ac:dyDescent="0.25">
      <c r="A61" s="3">
        <v>60</v>
      </c>
      <c r="B61" s="3" t="s">
        <v>996</v>
      </c>
      <c r="C61" s="3" t="s">
        <v>272</v>
      </c>
      <c r="D61" s="3" t="s">
        <v>997</v>
      </c>
      <c r="E61" s="3" t="s">
        <v>711</v>
      </c>
      <c r="F61" s="3" t="s">
        <v>712</v>
      </c>
      <c r="G61" s="3" t="s">
        <v>502</v>
      </c>
      <c r="H61" s="3" t="s">
        <v>871</v>
      </c>
      <c r="I61" s="3" t="s">
        <v>876</v>
      </c>
      <c r="J61" s="3" t="s">
        <v>9</v>
      </c>
    </row>
    <row r="62" spans="1:10" s="3" customFormat="1" x14ac:dyDescent="0.25">
      <c r="A62" s="3">
        <v>61</v>
      </c>
      <c r="B62" s="3" t="s">
        <v>996</v>
      </c>
      <c r="C62" s="3" t="s">
        <v>717</v>
      </c>
      <c r="D62" s="3" t="s">
        <v>998</v>
      </c>
      <c r="E62" s="3" t="s">
        <v>502</v>
      </c>
      <c r="F62" s="3" t="s">
        <v>502</v>
      </c>
      <c r="G62" s="3" t="s">
        <v>279</v>
      </c>
      <c r="H62" s="3" t="s">
        <v>871</v>
      </c>
      <c r="I62" s="3" t="s">
        <v>878</v>
      </c>
      <c r="J62" s="3" t="s">
        <v>9</v>
      </c>
    </row>
    <row r="63" spans="1:10" s="3" customFormat="1" x14ac:dyDescent="0.25">
      <c r="A63" s="3">
        <v>62</v>
      </c>
      <c r="B63" s="3" t="s">
        <v>996</v>
      </c>
      <c r="C63" s="3" t="s">
        <v>721</v>
      </c>
      <c r="D63" s="3" t="s">
        <v>998</v>
      </c>
      <c r="E63" s="3" t="s">
        <v>502</v>
      </c>
      <c r="F63" s="3" t="s">
        <v>502</v>
      </c>
      <c r="G63" s="3" t="s">
        <v>285</v>
      </c>
      <c r="H63" s="3" t="s">
        <v>871</v>
      </c>
      <c r="I63" s="3" t="s">
        <v>880</v>
      </c>
      <c r="J63" s="3" t="s">
        <v>9</v>
      </c>
    </row>
    <row r="64" spans="1:10" s="3" customFormat="1" x14ac:dyDescent="0.25">
      <c r="A64" s="3">
        <v>63</v>
      </c>
      <c r="B64" s="3" t="s">
        <v>996</v>
      </c>
      <c r="C64" s="3" t="s">
        <v>721</v>
      </c>
      <c r="D64" s="3" t="s">
        <v>998</v>
      </c>
      <c r="E64" s="3" t="s">
        <v>502</v>
      </c>
      <c r="F64" s="3" t="s">
        <v>502</v>
      </c>
      <c r="G64" s="3" t="s">
        <v>285</v>
      </c>
      <c r="H64" s="3" t="s">
        <v>871</v>
      </c>
      <c r="I64" s="3" t="s">
        <v>881</v>
      </c>
      <c r="J64" s="3" t="s">
        <v>9</v>
      </c>
    </row>
    <row r="65" spans="1:10" s="3" customFormat="1" x14ac:dyDescent="0.25">
      <c r="A65" s="3">
        <v>64</v>
      </c>
      <c r="B65" s="3" t="s">
        <v>996</v>
      </c>
      <c r="C65" s="3" t="s">
        <v>831</v>
      </c>
      <c r="D65" s="3" t="s">
        <v>997</v>
      </c>
      <c r="E65" s="3" t="s">
        <v>502</v>
      </c>
      <c r="F65" s="3" t="s">
        <v>502</v>
      </c>
      <c r="G65" s="3" t="s">
        <v>502</v>
      </c>
      <c r="H65" s="3" t="s">
        <v>871</v>
      </c>
      <c r="I65" s="3" t="s">
        <v>883</v>
      </c>
      <c r="J65" s="3" t="s">
        <v>9</v>
      </c>
    </row>
    <row r="66" spans="1:10" s="3" customFormat="1" x14ac:dyDescent="0.25">
      <c r="A66" s="3">
        <v>65</v>
      </c>
      <c r="B66" s="3" t="s">
        <v>996</v>
      </c>
      <c r="C66" s="3" t="s">
        <v>831</v>
      </c>
      <c r="D66" s="3" t="s">
        <v>997</v>
      </c>
      <c r="E66" s="3" t="s">
        <v>502</v>
      </c>
      <c r="F66" s="3" t="s">
        <v>502</v>
      </c>
      <c r="G66" s="3" t="s">
        <v>502</v>
      </c>
      <c r="H66" s="3" t="s">
        <v>871</v>
      </c>
      <c r="I66" s="3" t="s">
        <v>883</v>
      </c>
      <c r="J66" s="3" t="s">
        <v>9</v>
      </c>
    </row>
    <row r="67" spans="1:10" s="3" customFormat="1" x14ac:dyDescent="0.25">
      <c r="A67" s="3">
        <v>66</v>
      </c>
      <c r="B67" s="3" t="s">
        <v>996</v>
      </c>
      <c r="C67" s="3" t="s">
        <v>107</v>
      </c>
      <c r="D67" s="3" t="s">
        <v>997</v>
      </c>
      <c r="E67" s="3" t="s">
        <v>502</v>
      </c>
      <c r="F67" s="3" t="s">
        <v>502</v>
      </c>
      <c r="G67" s="3" t="s">
        <v>502</v>
      </c>
      <c r="H67" s="3" t="s">
        <v>871</v>
      </c>
      <c r="I67" s="3" t="s">
        <v>885</v>
      </c>
      <c r="J67" s="3" t="s">
        <v>9</v>
      </c>
    </row>
    <row r="68" spans="1:10" s="3" customFormat="1" x14ac:dyDescent="0.25">
      <c r="A68" s="3">
        <v>67</v>
      </c>
      <c r="B68" s="3" t="s">
        <v>996</v>
      </c>
      <c r="C68" s="3" t="s">
        <v>291</v>
      </c>
      <c r="D68" s="3" t="s">
        <v>997</v>
      </c>
      <c r="E68" s="3" t="s">
        <v>725</v>
      </c>
      <c r="F68" s="3" t="s">
        <v>726</v>
      </c>
      <c r="G68" s="3" t="s">
        <v>502</v>
      </c>
      <c r="H68" s="3" t="s">
        <v>871</v>
      </c>
      <c r="I68" s="3" t="s">
        <v>872</v>
      </c>
      <c r="J68" s="3" t="s">
        <v>9</v>
      </c>
    </row>
    <row r="69" spans="1:10" s="3" customFormat="1" x14ac:dyDescent="0.25">
      <c r="A69" s="3">
        <v>68</v>
      </c>
      <c r="B69" s="3" t="s">
        <v>996</v>
      </c>
      <c r="C69" s="3" t="s">
        <v>298</v>
      </c>
      <c r="D69" s="3" t="s">
        <v>997</v>
      </c>
      <c r="E69" s="3" t="s">
        <v>731</v>
      </c>
      <c r="F69" s="3" t="s">
        <v>732</v>
      </c>
      <c r="G69" s="3" t="s">
        <v>502</v>
      </c>
      <c r="H69" s="3" t="s">
        <v>871</v>
      </c>
      <c r="I69" s="3" t="s">
        <v>874</v>
      </c>
      <c r="J69" s="3" t="s">
        <v>9</v>
      </c>
    </row>
    <row r="70" spans="1:10" s="3" customFormat="1" x14ac:dyDescent="0.25">
      <c r="A70" s="3">
        <v>69</v>
      </c>
      <c r="B70" s="3" t="s">
        <v>996</v>
      </c>
      <c r="C70" s="3" t="s">
        <v>298</v>
      </c>
      <c r="D70" s="3" t="s">
        <v>997</v>
      </c>
      <c r="E70" s="3" t="s">
        <v>731</v>
      </c>
      <c r="F70" s="3" t="s">
        <v>732</v>
      </c>
      <c r="G70" s="3" t="s">
        <v>502</v>
      </c>
      <c r="H70" s="3" t="s">
        <v>871</v>
      </c>
      <c r="I70" s="3" t="s">
        <v>875</v>
      </c>
      <c r="J70" s="3" t="s">
        <v>9</v>
      </c>
    </row>
    <row r="71" spans="1:10" s="3" customFormat="1" x14ac:dyDescent="0.25">
      <c r="A71" s="3">
        <v>70</v>
      </c>
      <c r="B71" s="3" t="s">
        <v>996</v>
      </c>
      <c r="C71" s="3" t="s">
        <v>298</v>
      </c>
      <c r="D71" s="3" t="s">
        <v>997</v>
      </c>
      <c r="E71" s="3" t="s">
        <v>731</v>
      </c>
      <c r="F71" s="3" t="s">
        <v>732</v>
      </c>
      <c r="G71" s="3" t="s">
        <v>502</v>
      </c>
      <c r="H71" s="3" t="s">
        <v>871</v>
      </c>
      <c r="I71" s="3" t="s">
        <v>876</v>
      </c>
      <c r="J71" s="3" t="s">
        <v>9</v>
      </c>
    </row>
    <row r="72" spans="1:10" s="3" customFormat="1" x14ac:dyDescent="0.25">
      <c r="A72" s="3">
        <v>71</v>
      </c>
      <c r="B72" s="3" t="s">
        <v>996</v>
      </c>
      <c r="C72" s="3" t="s">
        <v>737</v>
      </c>
      <c r="D72" s="3" t="s">
        <v>998</v>
      </c>
      <c r="E72" s="3" t="s">
        <v>502</v>
      </c>
      <c r="F72" s="3" t="s">
        <v>502</v>
      </c>
      <c r="G72" s="3" t="s">
        <v>305</v>
      </c>
      <c r="H72" s="3" t="s">
        <v>871</v>
      </c>
      <c r="I72" s="3" t="s">
        <v>878</v>
      </c>
      <c r="J72" s="3" t="s">
        <v>9</v>
      </c>
    </row>
    <row r="73" spans="1:10" s="3" customFormat="1" x14ac:dyDescent="0.25">
      <c r="A73" s="3">
        <v>72</v>
      </c>
      <c r="B73" s="3" t="s">
        <v>996</v>
      </c>
      <c r="C73" s="3" t="s">
        <v>741</v>
      </c>
      <c r="D73" s="3" t="s">
        <v>998</v>
      </c>
      <c r="E73" s="3" t="s">
        <v>502</v>
      </c>
      <c r="F73" s="3" t="s">
        <v>502</v>
      </c>
      <c r="G73" s="3" t="s">
        <v>311</v>
      </c>
      <c r="H73" s="3" t="s">
        <v>871</v>
      </c>
      <c r="I73" s="3" t="s">
        <v>880</v>
      </c>
      <c r="J73" s="3" t="s">
        <v>9</v>
      </c>
    </row>
    <row r="74" spans="1:10" s="3" customFormat="1" x14ac:dyDescent="0.25">
      <c r="A74" s="3">
        <v>73</v>
      </c>
      <c r="B74" s="3" t="s">
        <v>996</v>
      </c>
      <c r="C74" s="3" t="s">
        <v>741</v>
      </c>
      <c r="D74" s="3" t="s">
        <v>998</v>
      </c>
      <c r="E74" s="3" t="s">
        <v>502</v>
      </c>
      <c r="F74" s="3" t="s">
        <v>502</v>
      </c>
      <c r="G74" s="3" t="s">
        <v>311</v>
      </c>
      <c r="H74" s="3" t="s">
        <v>871</v>
      </c>
      <c r="I74" s="3" t="s">
        <v>881</v>
      </c>
      <c r="J74" s="3" t="s">
        <v>9</v>
      </c>
    </row>
    <row r="75" spans="1:10" s="3" customFormat="1" x14ac:dyDescent="0.25">
      <c r="A75" s="3">
        <v>74</v>
      </c>
      <c r="B75" s="3" t="s">
        <v>996</v>
      </c>
      <c r="C75" s="3" t="s">
        <v>836</v>
      </c>
      <c r="D75" s="3" t="s">
        <v>997</v>
      </c>
      <c r="E75" s="3" t="s">
        <v>502</v>
      </c>
      <c r="F75" s="3" t="s">
        <v>502</v>
      </c>
      <c r="G75" s="3" t="s">
        <v>502</v>
      </c>
      <c r="H75" s="3" t="s">
        <v>871</v>
      </c>
      <c r="I75" s="3" t="s">
        <v>883</v>
      </c>
      <c r="J75" s="3" t="s">
        <v>9</v>
      </c>
    </row>
    <row r="76" spans="1:10" s="3" customFormat="1" x14ac:dyDescent="0.25">
      <c r="A76" s="3">
        <v>75</v>
      </c>
      <c r="B76" s="3" t="s">
        <v>996</v>
      </c>
      <c r="C76" s="3" t="s">
        <v>836</v>
      </c>
      <c r="D76" s="3" t="s">
        <v>997</v>
      </c>
      <c r="E76" s="3" t="s">
        <v>502</v>
      </c>
      <c r="F76" s="3" t="s">
        <v>502</v>
      </c>
      <c r="G76" s="3" t="s">
        <v>502</v>
      </c>
      <c r="H76" s="3" t="s">
        <v>871</v>
      </c>
      <c r="I76" s="3" t="s">
        <v>883</v>
      </c>
      <c r="J76" s="3" t="s">
        <v>9</v>
      </c>
    </row>
    <row r="77" spans="1:10" s="3" customFormat="1" x14ac:dyDescent="0.25">
      <c r="A77" s="3">
        <v>76</v>
      </c>
      <c r="B77" s="3" t="s">
        <v>996</v>
      </c>
      <c r="C77" s="3" t="s">
        <v>111</v>
      </c>
      <c r="D77" s="3" t="s">
        <v>997</v>
      </c>
      <c r="E77" s="3" t="s">
        <v>502</v>
      </c>
      <c r="F77" s="3" t="s">
        <v>502</v>
      </c>
      <c r="G77" s="3" t="s">
        <v>502</v>
      </c>
      <c r="H77" s="3" t="s">
        <v>871</v>
      </c>
      <c r="I77" s="3" t="s">
        <v>885</v>
      </c>
      <c r="J77" s="3" t="s">
        <v>9</v>
      </c>
    </row>
    <row r="78" spans="1:10" s="3" customFormat="1" x14ac:dyDescent="0.25">
      <c r="A78" s="3">
        <v>77</v>
      </c>
      <c r="B78" s="3" t="s">
        <v>996</v>
      </c>
      <c r="C78" s="3" t="s">
        <v>317</v>
      </c>
      <c r="D78" s="3" t="s">
        <v>997</v>
      </c>
      <c r="E78" s="3" t="s">
        <v>745</v>
      </c>
      <c r="F78" s="3" t="s">
        <v>746</v>
      </c>
      <c r="G78" s="3" t="s">
        <v>502</v>
      </c>
      <c r="H78" s="3" t="s">
        <v>871</v>
      </c>
      <c r="I78" s="3" t="s">
        <v>872</v>
      </c>
      <c r="J78" s="3" t="s">
        <v>9</v>
      </c>
    </row>
    <row r="79" spans="1:10" s="3" customFormat="1" x14ac:dyDescent="0.25">
      <c r="A79" s="3">
        <v>78</v>
      </c>
      <c r="B79" s="3" t="s">
        <v>996</v>
      </c>
      <c r="C79" s="3" t="s">
        <v>324</v>
      </c>
      <c r="D79" s="3" t="s">
        <v>997</v>
      </c>
      <c r="E79" s="3" t="s">
        <v>751</v>
      </c>
      <c r="F79" s="3" t="s">
        <v>752</v>
      </c>
      <c r="G79" s="3" t="s">
        <v>502</v>
      </c>
      <c r="H79" s="3" t="s">
        <v>871</v>
      </c>
      <c r="I79" s="3" t="s">
        <v>874</v>
      </c>
      <c r="J79" s="3" t="s">
        <v>9</v>
      </c>
    </row>
    <row r="80" spans="1:10" s="3" customFormat="1" x14ac:dyDescent="0.25">
      <c r="A80" s="3">
        <v>79</v>
      </c>
      <c r="B80" s="3" t="s">
        <v>996</v>
      </c>
      <c r="C80" s="3" t="s">
        <v>324</v>
      </c>
      <c r="D80" s="3" t="s">
        <v>997</v>
      </c>
      <c r="E80" s="3" t="s">
        <v>751</v>
      </c>
      <c r="F80" s="3" t="s">
        <v>752</v>
      </c>
      <c r="G80" s="3" t="s">
        <v>502</v>
      </c>
      <c r="H80" s="3" t="s">
        <v>871</v>
      </c>
      <c r="I80" s="3" t="s">
        <v>875</v>
      </c>
      <c r="J80" s="3" t="s">
        <v>9</v>
      </c>
    </row>
    <row r="81" spans="1:10" s="3" customFormat="1" x14ac:dyDescent="0.25">
      <c r="A81" s="3">
        <v>80</v>
      </c>
      <c r="B81" s="3" t="s">
        <v>996</v>
      </c>
      <c r="C81" s="3" t="s">
        <v>324</v>
      </c>
      <c r="D81" s="3" t="s">
        <v>997</v>
      </c>
      <c r="E81" s="3" t="s">
        <v>751</v>
      </c>
      <c r="F81" s="3" t="s">
        <v>752</v>
      </c>
      <c r="G81" s="3" t="s">
        <v>502</v>
      </c>
      <c r="H81" s="3" t="s">
        <v>871</v>
      </c>
      <c r="I81" s="3" t="s">
        <v>876</v>
      </c>
      <c r="J81" s="3" t="s">
        <v>9</v>
      </c>
    </row>
    <row r="82" spans="1:10" s="3" customFormat="1" x14ac:dyDescent="0.25">
      <c r="A82" s="3">
        <v>81</v>
      </c>
      <c r="B82" s="3" t="s">
        <v>996</v>
      </c>
      <c r="C82" s="3" t="s">
        <v>757</v>
      </c>
      <c r="D82" s="3" t="s">
        <v>998</v>
      </c>
      <c r="E82" s="3" t="s">
        <v>502</v>
      </c>
      <c r="F82" s="3" t="s">
        <v>502</v>
      </c>
      <c r="G82" s="3" t="s">
        <v>331</v>
      </c>
      <c r="H82" s="3" t="s">
        <v>871</v>
      </c>
      <c r="I82" s="3" t="s">
        <v>878</v>
      </c>
      <c r="J82" s="3" t="s">
        <v>9</v>
      </c>
    </row>
    <row r="83" spans="1:10" s="3" customFormat="1" x14ac:dyDescent="0.25">
      <c r="A83" s="3">
        <v>82</v>
      </c>
      <c r="B83" s="3" t="s">
        <v>996</v>
      </c>
      <c r="C83" s="3" t="s">
        <v>761</v>
      </c>
      <c r="D83" s="3" t="s">
        <v>998</v>
      </c>
      <c r="E83" s="3" t="s">
        <v>502</v>
      </c>
      <c r="F83" s="3" t="s">
        <v>502</v>
      </c>
      <c r="G83" s="3" t="s">
        <v>337</v>
      </c>
      <c r="H83" s="3" t="s">
        <v>871</v>
      </c>
      <c r="I83" s="3" t="s">
        <v>880</v>
      </c>
      <c r="J83" s="3" t="s">
        <v>9</v>
      </c>
    </row>
    <row r="84" spans="1:10" s="3" customFormat="1" x14ac:dyDescent="0.25">
      <c r="A84" s="3">
        <v>83</v>
      </c>
      <c r="B84" s="3" t="s">
        <v>996</v>
      </c>
      <c r="C84" s="3" t="s">
        <v>761</v>
      </c>
      <c r="D84" s="3" t="s">
        <v>998</v>
      </c>
      <c r="E84" s="3" t="s">
        <v>502</v>
      </c>
      <c r="F84" s="3" t="s">
        <v>502</v>
      </c>
      <c r="G84" s="3" t="s">
        <v>337</v>
      </c>
      <c r="H84" s="3" t="s">
        <v>871</v>
      </c>
      <c r="I84" s="3" t="s">
        <v>881</v>
      </c>
      <c r="J84" s="3" t="s">
        <v>9</v>
      </c>
    </row>
    <row r="85" spans="1:10" s="3" customFormat="1" x14ac:dyDescent="0.25">
      <c r="A85" s="3">
        <v>84</v>
      </c>
      <c r="B85" s="3" t="s">
        <v>996</v>
      </c>
      <c r="C85" s="3" t="s">
        <v>841</v>
      </c>
      <c r="D85" s="3" t="s">
        <v>997</v>
      </c>
      <c r="E85" s="3" t="s">
        <v>502</v>
      </c>
      <c r="F85" s="3" t="s">
        <v>502</v>
      </c>
      <c r="G85" s="3" t="s">
        <v>502</v>
      </c>
      <c r="H85" s="3" t="s">
        <v>871</v>
      </c>
      <c r="I85" s="3" t="s">
        <v>883</v>
      </c>
      <c r="J85" s="3" t="s">
        <v>9</v>
      </c>
    </row>
    <row r="86" spans="1:10" s="3" customFormat="1" x14ac:dyDescent="0.25">
      <c r="A86" s="3">
        <v>85</v>
      </c>
      <c r="B86" s="3" t="s">
        <v>996</v>
      </c>
      <c r="C86" s="3" t="s">
        <v>841</v>
      </c>
      <c r="D86" s="3" t="s">
        <v>997</v>
      </c>
      <c r="E86" s="3" t="s">
        <v>502</v>
      </c>
      <c r="F86" s="3" t="s">
        <v>502</v>
      </c>
      <c r="G86" s="3" t="s">
        <v>502</v>
      </c>
      <c r="H86" s="3" t="s">
        <v>871</v>
      </c>
      <c r="I86" s="3" t="s">
        <v>883</v>
      </c>
      <c r="J86" s="3" t="s">
        <v>9</v>
      </c>
    </row>
    <row r="87" spans="1:10" s="3" customFormat="1" x14ac:dyDescent="0.25">
      <c r="A87" s="3">
        <v>86</v>
      </c>
      <c r="B87" s="3" t="s">
        <v>996</v>
      </c>
      <c r="C87" s="3" t="s">
        <v>115</v>
      </c>
      <c r="D87" s="3" t="s">
        <v>997</v>
      </c>
      <c r="E87" s="3" t="s">
        <v>502</v>
      </c>
      <c r="F87" s="3" t="s">
        <v>502</v>
      </c>
      <c r="G87" s="3" t="s">
        <v>502</v>
      </c>
      <c r="H87" s="3" t="s">
        <v>871</v>
      </c>
      <c r="I87" s="3" t="s">
        <v>885</v>
      </c>
      <c r="J87" s="3" t="s">
        <v>9</v>
      </c>
    </row>
    <row r="88" spans="1:10" s="3" customFormat="1" x14ac:dyDescent="0.25">
      <c r="A88" s="3">
        <v>87</v>
      </c>
      <c r="B88" s="3" t="s">
        <v>996</v>
      </c>
      <c r="C88" s="3" t="s">
        <v>343</v>
      </c>
      <c r="D88" s="3" t="s">
        <v>997</v>
      </c>
      <c r="E88" s="3" t="s">
        <v>765</v>
      </c>
      <c r="F88" s="3" t="s">
        <v>766</v>
      </c>
      <c r="G88" s="3" t="s">
        <v>502</v>
      </c>
      <c r="H88" s="3" t="s">
        <v>871</v>
      </c>
      <c r="I88" s="3" t="s">
        <v>872</v>
      </c>
      <c r="J88" s="3" t="s">
        <v>9</v>
      </c>
    </row>
    <row r="89" spans="1:10" s="3" customFormat="1" x14ac:dyDescent="0.25">
      <c r="A89" s="3">
        <v>88</v>
      </c>
      <c r="B89" s="3" t="s">
        <v>996</v>
      </c>
      <c r="C89" s="3" t="s">
        <v>350</v>
      </c>
      <c r="D89" s="3" t="s">
        <v>997</v>
      </c>
      <c r="E89" s="3" t="s">
        <v>771</v>
      </c>
      <c r="F89" s="3" t="s">
        <v>772</v>
      </c>
      <c r="G89" s="3" t="s">
        <v>502</v>
      </c>
      <c r="H89" s="3" t="s">
        <v>871</v>
      </c>
      <c r="I89" s="3" t="s">
        <v>874</v>
      </c>
      <c r="J89" s="3" t="s">
        <v>9</v>
      </c>
    </row>
    <row r="90" spans="1:10" s="3" customFormat="1" x14ac:dyDescent="0.25">
      <c r="A90" s="3">
        <v>89</v>
      </c>
      <c r="B90" s="3" t="s">
        <v>996</v>
      </c>
      <c r="C90" s="3" t="s">
        <v>350</v>
      </c>
      <c r="D90" s="3" t="s">
        <v>997</v>
      </c>
      <c r="E90" s="3" t="s">
        <v>771</v>
      </c>
      <c r="F90" s="3" t="s">
        <v>772</v>
      </c>
      <c r="G90" s="3" t="s">
        <v>502</v>
      </c>
      <c r="H90" s="3" t="s">
        <v>871</v>
      </c>
      <c r="I90" s="3" t="s">
        <v>875</v>
      </c>
      <c r="J90" s="3" t="s">
        <v>9</v>
      </c>
    </row>
    <row r="91" spans="1:10" s="3" customFormat="1" x14ac:dyDescent="0.25">
      <c r="A91" s="3">
        <v>90</v>
      </c>
      <c r="B91" s="3" t="s">
        <v>996</v>
      </c>
      <c r="C91" s="3" t="s">
        <v>350</v>
      </c>
      <c r="D91" s="3" t="s">
        <v>997</v>
      </c>
      <c r="E91" s="3" t="s">
        <v>771</v>
      </c>
      <c r="F91" s="3" t="s">
        <v>772</v>
      </c>
      <c r="G91" s="3" t="s">
        <v>502</v>
      </c>
      <c r="H91" s="3" t="s">
        <v>871</v>
      </c>
      <c r="I91" s="3" t="s">
        <v>876</v>
      </c>
      <c r="J91" s="3" t="s">
        <v>9</v>
      </c>
    </row>
    <row r="92" spans="1:10" s="3" customFormat="1" x14ac:dyDescent="0.25">
      <c r="A92" s="3">
        <v>91</v>
      </c>
      <c r="B92" s="3" t="s">
        <v>996</v>
      </c>
      <c r="C92" s="3" t="s">
        <v>777</v>
      </c>
      <c r="D92" s="3" t="s">
        <v>998</v>
      </c>
      <c r="E92" s="3" t="s">
        <v>502</v>
      </c>
      <c r="F92" s="3" t="s">
        <v>502</v>
      </c>
      <c r="G92" s="3" t="s">
        <v>357</v>
      </c>
      <c r="H92" s="3" t="s">
        <v>871</v>
      </c>
      <c r="I92" s="3" t="s">
        <v>878</v>
      </c>
      <c r="J92" s="3" t="s">
        <v>9</v>
      </c>
    </row>
    <row r="93" spans="1:10" s="3" customFormat="1" x14ac:dyDescent="0.25">
      <c r="A93" s="3">
        <v>92</v>
      </c>
      <c r="B93" s="3" t="s">
        <v>996</v>
      </c>
      <c r="C93" s="3" t="s">
        <v>781</v>
      </c>
      <c r="D93" s="3" t="s">
        <v>998</v>
      </c>
      <c r="E93" s="3" t="s">
        <v>502</v>
      </c>
      <c r="F93" s="3" t="s">
        <v>502</v>
      </c>
      <c r="G93" s="3" t="s">
        <v>363</v>
      </c>
      <c r="H93" s="3" t="s">
        <v>871</v>
      </c>
      <c r="I93" s="3" t="s">
        <v>880</v>
      </c>
      <c r="J93" s="3" t="s">
        <v>9</v>
      </c>
    </row>
    <row r="94" spans="1:10" s="3" customFormat="1" x14ac:dyDescent="0.25">
      <c r="A94" s="3">
        <v>93</v>
      </c>
      <c r="B94" s="3" t="s">
        <v>996</v>
      </c>
      <c r="C94" s="3" t="s">
        <v>781</v>
      </c>
      <c r="D94" s="3" t="s">
        <v>998</v>
      </c>
      <c r="E94" s="3" t="s">
        <v>502</v>
      </c>
      <c r="F94" s="3" t="s">
        <v>502</v>
      </c>
      <c r="G94" s="3" t="s">
        <v>363</v>
      </c>
      <c r="H94" s="3" t="s">
        <v>871</v>
      </c>
      <c r="I94" s="3" t="s">
        <v>881</v>
      </c>
      <c r="J94" s="3" t="s">
        <v>9</v>
      </c>
    </row>
    <row r="95" spans="1:10" s="3" customFormat="1" x14ac:dyDescent="0.25">
      <c r="A95" s="3">
        <v>94</v>
      </c>
      <c r="B95" s="3" t="s">
        <v>996</v>
      </c>
      <c r="C95" s="3" t="s">
        <v>846</v>
      </c>
      <c r="D95" s="3" t="s">
        <v>997</v>
      </c>
      <c r="E95" s="3" t="s">
        <v>502</v>
      </c>
      <c r="F95" s="3" t="s">
        <v>502</v>
      </c>
      <c r="G95" s="3" t="s">
        <v>502</v>
      </c>
      <c r="H95" s="3" t="s">
        <v>871</v>
      </c>
      <c r="I95" s="3" t="s">
        <v>883</v>
      </c>
      <c r="J95" s="3" t="s">
        <v>9</v>
      </c>
    </row>
    <row r="96" spans="1:10" s="3" customFormat="1" x14ac:dyDescent="0.25">
      <c r="A96" s="3">
        <v>95</v>
      </c>
      <c r="B96" s="3" t="s">
        <v>996</v>
      </c>
      <c r="C96" s="3" t="s">
        <v>846</v>
      </c>
      <c r="D96" s="3" t="s">
        <v>997</v>
      </c>
      <c r="E96" s="3" t="s">
        <v>502</v>
      </c>
      <c r="F96" s="3" t="s">
        <v>502</v>
      </c>
      <c r="G96" s="3" t="s">
        <v>502</v>
      </c>
      <c r="H96" s="3" t="s">
        <v>871</v>
      </c>
      <c r="I96" s="3" t="s">
        <v>883</v>
      </c>
      <c r="J96" s="3" t="s">
        <v>9</v>
      </c>
    </row>
    <row r="97" spans="1:10" s="3" customFormat="1" x14ac:dyDescent="0.25">
      <c r="A97" s="3">
        <v>96</v>
      </c>
      <c r="B97" s="3" t="s">
        <v>996</v>
      </c>
      <c r="C97" s="3" t="s">
        <v>119</v>
      </c>
      <c r="D97" s="3" t="s">
        <v>997</v>
      </c>
      <c r="E97" s="3" t="s">
        <v>502</v>
      </c>
      <c r="F97" s="3" t="s">
        <v>502</v>
      </c>
      <c r="G97" s="3" t="s">
        <v>502</v>
      </c>
      <c r="H97" s="3" t="s">
        <v>871</v>
      </c>
      <c r="I97" s="3" t="s">
        <v>885</v>
      </c>
      <c r="J97" s="3" t="s">
        <v>9</v>
      </c>
    </row>
    <row r="98" spans="1:10" s="3" customFormat="1" x14ac:dyDescent="0.25">
      <c r="A98" s="3">
        <v>97</v>
      </c>
      <c r="B98" s="3" t="s">
        <v>996</v>
      </c>
      <c r="C98" s="3" t="s">
        <v>369</v>
      </c>
      <c r="D98" s="3" t="s">
        <v>997</v>
      </c>
      <c r="E98" s="3" t="s">
        <v>785</v>
      </c>
      <c r="F98" s="3" t="s">
        <v>786</v>
      </c>
      <c r="G98" s="3" t="s">
        <v>502</v>
      </c>
      <c r="H98" s="3" t="s">
        <v>871</v>
      </c>
      <c r="I98" s="3" t="s">
        <v>872</v>
      </c>
      <c r="J98" s="3" t="s">
        <v>9</v>
      </c>
    </row>
    <row r="99" spans="1:10" s="3" customFormat="1" x14ac:dyDescent="0.25">
      <c r="A99" s="3">
        <v>98</v>
      </c>
      <c r="B99" s="3" t="s">
        <v>996</v>
      </c>
      <c r="C99" s="3" t="s">
        <v>376</v>
      </c>
      <c r="D99" s="3" t="s">
        <v>997</v>
      </c>
      <c r="E99" s="3" t="s">
        <v>791</v>
      </c>
      <c r="F99" s="3" t="s">
        <v>792</v>
      </c>
      <c r="G99" s="3" t="s">
        <v>502</v>
      </c>
      <c r="H99" s="3" t="s">
        <v>871</v>
      </c>
      <c r="I99" s="3" t="s">
        <v>874</v>
      </c>
      <c r="J99" s="3" t="s">
        <v>9</v>
      </c>
    </row>
    <row r="100" spans="1:10" s="3" customFormat="1" x14ac:dyDescent="0.25">
      <c r="A100" s="3">
        <v>99</v>
      </c>
      <c r="B100" s="3" t="s">
        <v>996</v>
      </c>
      <c r="C100" s="3" t="s">
        <v>376</v>
      </c>
      <c r="D100" s="3" t="s">
        <v>997</v>
      </c>
      <c r="E100" s="3" t="s">
        <v>791</v>
      </c>
      <c r="F100" s="3" t="s">
        <v>792</v>
      </c>
      <c r="G100" s="3" t="s">
        <v>502</v>
      </c>
      <c r="H100" s="3" t="s">
        <v>871</v>
      </c>
      <c r="I100" s="3" t="s">
        <v>875</v>
      </c>
      <c r="J100" s="3" t="s">
        <v>9</v>
      </c>
    </row>
    <row r="101" spans="1:10" s="3" customFormat="1" x14ac:dyDescent="0.25">
      <c r="A101" s="3">
        <v>100</v>
      </c>
      <c r="B101" s="3" t="s">
        <v>996</v>
      </c>
      <c r="C101" s="3" t="s">
        <v>376</v>
      </c>
      <c r="D101" s="3" t="s">
        <v>997</v>
      </c>
      <c r="E101" s="3" t="s">
        <v>791</v>
      </c>
      <c r="F101" s="3" t="s">
        <v>792</v>
      </c>
      <c r="G101" s="3" t="s">
        <v>502</v>
      </c>
      <c r="H101" s="3" t="s">
        <v>871</v>
      </c>
      <c r="I101" s="3" t="s">
        <v>876</v>
      </c>
      <c r="J101" s="3" t="s">
        <v>9</v>
      </c>
    </row>
    <row r="102" spans="1:10" s="3" customFormat="1" x14ac:dyDescent="0.25">
      <c r="A102" s="3">
        <v>101</v>
      </c>
      <c r="B102" s="3" t="s">
        <v>996</v>
      </c>
      <c r="C102" s="3" t="s">
        <v>797</v>
      </c>
      <c r="D102" s="3" t="s">
        <v>998</v>
      </c>
      <c r="E102" s="3" t="s">
        <v>502</v>
      </c>
      <c r="F102" s="3" t="s">
        <v>502</v>
      </c>
      <c r="G102" s="3" t="s">
        <v>383</v>
      </c>
      <c r="H102" s="3" t="s">
        <v>871</v>
      </c>
      <c r="I102" s="3" t="s">
        <v>878</v>
      </c>
      <c r="J102" s="3" t="s">
        <v>9</v>
      </c>
    </row>
    <row r="103" spans="1:10" s="3" customFormat="1" x14ac:dyDescent="0.25">
      <c r="A103" s="3">
        <v>102</v>
      </c>
      <c r="B103" s="3" t="s">
        <v>996</v>
      </c>
      <c r="C103" s="3" t="s">
        <v>801</v>
      </c>
      <c r="D103" s="3" t="s">
        <v>998</v>
      </c>
      <c r="E103" s="3" t="s">
        <v>502</v>
      </c>
      <c r="F103" s="3" t="s">
        <v>502</v>
      </c>
      <c r="G103" s="3" t="s">
        <v>389</v>
      </c>
      <c r="H103" s="3" t="s">
        <v>871</v>
      </c>
      <c r="I103" s="3" t="s">
        <v>880</v>
      </c>
      <c r="J103" s="3" t="s">
        <v>9</v>
      </c>
    </row>
    <row r="104" spans="1:10" s="3" customFormat="1" x14ac:dyDescent="0.25">
      <c r="A104" s="3">
        <v>103</v>
      </c>
      <c r="B104" s="3" t="s">
        <v>996</v>
      </c>
      <c r="C104" s="3" t="s">
        <v>801</v>
      </c>
      <c r="D104" s="3" t="s">
        <v>998</v>
      </c>
      <c r="E104" s="3" t="s">
        <v>502</v>
      </c>
      <c r="F104" s="3" t="s">
        <v>502</v>
      </c>
      <c r="G104" s="3" t="s">
        <v>389</v>
      </c>
      <c r="H104" s="3" t="s">
        <v>871</v>
      </c>
      <c r="I104" s="3" t="s">
        <v>881</v>
      </c>
      <c r="J104" s="3" t="s">
        <v>9</v>
      </c>
    </row>
    <row r="105" spans="1:10" s="3" customFormat="1" x14ac:dyDescent="0.25">
      <c r="A105" s="3">
        <v>104</v>
      </c>
      <c r="B105" s="3" t="s">
        <v>996</v>
      </c>
      <c r="C105" s="3" t="s">
        <v>851</v>
      </c>
      <c r="D105" s="3" t="s">
        <v>997</v>
      </c>
      <c r="E105" s="3" t="s">
        <v>502</v>
      </c>
      <c r="F105" s="3" t="s">
        <v>502</v>
      </c>
      <c r="G105" s="3" t="s">
        <v>502</v>
      </c>
      <c r="H105" s="3" t="s">
        <v>871</v>
      </c>
      <c r="I105" s="3" t="s">
        <v>883</v>
      </c>
      <c r="J105" s="3" t="s">
        <v>9</v>
      </c>
    </row>
    <row r="106" spans="1:10" s="3" customFormat="1" x14ac:dyDescent="0.25">
      <c r="A106" s="3">
        <v>105</v>
      </c>
      <c r="B106" s="3" t="s">
        <v>996</v>
      </c>
      <c r="C106" s="3" t="s">
        <v>851</v>
      </c>
      <c r="D106" s="3" t="s">
        <v>997</v>
      </c>
      <c r="E106" s="3" t="s">
        <v>502</v>
      </c>
      <c r="F106" s="3" t="s">
        <v>502</v>
      </c>
      <c r="G106" s="3" t="s">
        <v>502</v>
      </c>
      <c r="H106" s="3" t="s">
        <v>871</v>
      </c>
      <c r="I106" s="3" t="s">
        <v>883</v>
      </c>
      <c r="J106" s="3" t="s">
        <v>9</v>
      </c>
    </row>
    <row r="107" spans="1:10" s="3" customFormat="1" x14ac:dyDescent="0.25">
      <c r="A107" s="3">
        <v>106</v>
      </c>
      <c r="B107" s="3" t="s">
        <v>996</v>
      </c>
      <c r="C107" s="3" t="s">
        <v>123</v>
      </c>
      <c r="D107" s="3" t="s">
        <v>997</v>
      </c>
      <c r="E107" s="3" t="s">
        <v>502</v>
      </c>
      <c r="F107" s="3" t="s">
        <v>502</v>
      </c>
      <c r="G107" s="3" t="s">
        <v>502</v>
      </c>
      <c r="H107" s="3" t="s">
        <v>871</v>
      </c>
      <c r="I107" s="3" t="s">
        <v>885</v>
      </c>
      <c r="J107" s="3" t="s">
        <v>9</v>
      </c>
    </row>
  </sheetData>
  <autoFilter ref="A1:J107"/>
  <pageMargins left="0.7" right="0.7" top="0.75" bottom="0.75" header="0.3" footer="0.3"/>
  <pageSetup orientation="landscape" horizontalDpi="4294967295" verticalDpi="4294967295" scale="100" fitToWidth="1" fitToHeight="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07"/>
  <sheetViews>
    <sheetView workbookViewId="0" rightToLeft="1">
      <pane ySplit="1" topLeftCell="A2" activePane="bottomLeft" state="frozen"/>
      <selection pane="bottomLeft"/>
    </sheetView>
  </sheetViews>
  <sheetFormatPr defaultRowHeight="15" outlineLevelRow="0" outlineLevelCol="0" x14ac:dyDescent="55"/>
  <cols>
    <col min="1" max="1" width="16" customWidth="1"/>
    <col min="2" max="2" width="18" customWidth="1"/>
    <col min="3" max="3" width="30" customWidth="1"/>
    <col min="4" max="7" width="16" customWidth="1"/>
    <col min="8" max="8" width="28" customWidth="1"/>
    <col min="9" max="10" width="16" customWidth="1"/>
  </cols>
  <sheetData>
    <row r="1" ht="28" customHeight="1" spans="1:10" s="22" customFormat="1" x14ac:dyDescent="0.25">
      <c r="A1" s="22" t="s">
        <v>862</v>
      </c>
      <c r="B1" s="22" t="s">
        <v>980</v>
      </c>
      <c r="C1" s="22" t="s">
        <v>981</v>
      </c>
      <c r="D1" s="22" t="s">
        <v>982</v>
      </c>
      <c r="E1" s="22" t="s">
        <v>983</v>
      </c>
      <c r="F1" s="22" t="s">
        <v>984</v>
      </c>
      <c r="G1" s="22" t="s">
        <v>985</v>
      </c>
      <c r="H1" s="22" t="s">
        <v>986</v>
      </c>
      <c r="I1" s="22" t="s">
        <v>987</v>
      </c>
      <c r="J1" s="22" t="s">
        <v>988</v>
      </c>
    </row>
    <row r="2" spans="1:3" s="3" customFormat="1" x14ac:dyDescent="0.25">
      <c r="A2" s="3">
        <v>1</v>
      </c>
      <c r="B2" s="3" t="s">
        <v>4</v>
      </c>
      <c r="C2" s="3" t="s">
        <v>5</v>
      </c>
    </row>
    <row r="3" spans="1:3" s="3" customFormat="1" x14ac:dyDescent="0.25">
      <c r="A3" s="3">
        <v>2</v>
      </c>
      <c r="B3" s="3" t="s">
        <v>989</v>
      </c>
      <c r="C3" s="3" t="s">
        <v>7</v>
      </c>
    </row>
    <row r="4" spans="1:3" s="3" customFormat="1" x14ac:dyDescent="0.25">
      <c r="A4" s="3">
        <v>3</v>
      </c>
      <c r="B4" s="3" t="s">
        <v>990</v>
      </c>
      <c r="C4" s="3" t="s">
        <v>19</v>
      </c>
    </row>
    <row r="5" spans="1:3" s="3" customFormat="1" x14ac:dyDescent="0.25">
      <c r="A5" s="3">
        <v>4</v>
      </c>
      <c r="B5" s="3" t="s">
        <v>8</v>
      </c>
      <c r="C5" s="3" t="s">
        <v>9</v>
      </c>
    </row>
    <row r="6" spans="1:3" s="3" customFormat="1" x14ac:dyDescent="0.25">
      <c r="A6" s="3">
        <v>5</v>
      </c>
      <c r="B6" s="3" t="s">
        <v>991</v>
      </c>
      <c r="C6" s="3" t="s">
        <v>992</v>
      </c>
    </row>
    <row r="7" spans="1:10" s="3" customFormat="1" x14ac:dyDescent="0.25">
      <c r="A7" s="3">
        <v>6</v>
      </c>
      <c r="B7" s="3" t="s">
        <v>471</v>
      </c>
      <c r="C7" s="3" t="s">
        <v>993</v>
      </c>
      <c r="D7" s="3" t="s">
        <v>472</v>
      </c>
      <c r="E7" s="3" t="s">
        <v>994</v>
      </c>
      <c r="F7" s="3" t="s">
        <v>995</v>
      </c>
      <c r="G7" s="3" t="s">
        <v>577</v>
      </c>
      <c r="H7" s="3" t="s">
        <v>475</v>
      </c>
      <c r="I7" s="3" t="s">
        <v>476</v>
      </c>
      <c r="J7" s="3" t="s">
        <v>8</v>
      </c>
    </row>
    <row r="8" spans="1:10" s="3" customFormat="1" x14ac:dyDescent="0.25">
      <c r="A8" s="3">
        <v>7</v>
      </c>
      <c r="B8" s="3" t="s">
        <v>996</v>
      </c>
      <c r="C8" s="3" t="s">
        <v>128</v>
      </c>
      <c r="D8" s="3" t="s">
        <v>997</v>
      </c>
      <c r="E8" s="3" t="s">
        <v>605</v>
      </c>
      <c r="F8" s="3" t="s">
        <v>606</v>
      </c>
      <c r="G8" s="3" t="s">
        <v>502</v>
      </c>
      <c r="H8" s="3" t="s">
        <v>871</v>
      </c>
      <c r="I8" s="3" t="s">
        <v>874</v>
      </c>
      <c r="J8" s="3" t="s">
        <v>9</v>
      </c>
    </row>
    <row r="9" spans="1:10" s="3" customFormat="1" x14ac:dyDescent="0.25">
      <c r="A9" s="3">
        <v>8</v>
      </c>
      <c r="B9" s="3" t="s">
        <v>996</v>
      </c>
      <c r="C9" s="3" t="s">
        <v>128</v>
      </c>
      <c r="D9" s="3" t="s">
        <v>997</v>
      </c>
      <c r="E9" s="3" t="s">
        <v>605</v>
      </c>
      <c r="F9" s="3" t="s">
        <v>606</v>
      </c>
      <c r="G9" s="3" t="s">
        <v>502</v>
      </c>
      <c r="H9" s="3" t="s">
        <v>871</v>
      </c>
      <c r="I9" s="3" t="s">
        <v>875</v>
      </c>
      <c r="J9" s="3" t="s">
        <v>9</v>
      </c>
    </row>
    <row r="10" spans="1:10" s="3" customFormat="1" x14ac:dyDescent="0.25">
      <c r="A10" s="3">
        <v>9</v>
      </c>
      <c r="B10" s="3" t="s">
        <v>996</v>
      </c>
      <c r="C10" s="3" t="s">
        <v>128</v>
      </c>
      <c r="D10" s="3" t="s">
        <v>997</v>
      </c>
      <c r="E10" s="3" t="s">
        <v>605</v>
      </c>
      <c r="F10" s="3" t="s">
        <v>606</v>
      </c>
      <c r="G10" s="3" t="s">
        <v>502</v>
      </c>
      <c r="H10" s="3" t="s">
        <v>871</v>
      </c>
      <c r="I10" s="3" t="s">
        <v>876</v>
      </c>
      <c r="J10" s="3" t="s">
        <v>9</v>
      </c>
    </row>
    <row r="11" spans="1:10" s="3" customFormat="1" x14ac:dyDescent="0.25">
      <c r="A11" s="3">
        <v>10</v>
      </c>
      <c r="B11" s="3" t="s">
        <v>996</v>
      </c>
      <c r="C11" s="3" t="s">
        <v>138</v>
      </c>
      <c r="D11" s="3" t="s">
        <v>997</v>
      </c>
      <c r="E11" s="3" t="s">
        <v>611</v>
      </c>
      <c r="F11" s="3" t="s">
        <v>612</v>
      </c>
      <c r="G11" s="3" t="s">
        <v>502</v>
      </c>
      <c r="H11" s="3" t="s">
        <v>871</v>
      </c>
      <c r="I11" s="3" t="s">
        <v>872</v>
      </c>
      <c r="J11" s="3" t="s">
        <v>9</v>
      </c>
    </row>
    <row r="12" spans="1:10" s="3" customFormat="1" x14ac:dyDescent="0.25">
      <c r="A12" s="3">
        <v>11</v>
      </c>
      <c r="B12" s="3" t="s">
        <v>996</v>
      </c>
      <c r="C12" s="3" t="s">
        <v>617</v>
      </c>
      <c r="D12" s="3" t="s">
        <v>998</v>
      </c>
      <c r="E12" s="3" t="s">
        <v>502</v>
      </c>
      <c r="F12" s="3" t="s">
        <v>502</v>
      </c>
      <c r="G12" s="3" t="s">
        <v>146</v>
      </c>
      <c r="H12" s="3" t="s">
        <v>871</v>
      </c>
      <c r="I12" s="3" t="s">
        <v>880</v>
      </c>
      <c r="J12" s="3" t="s">
        <v>9</v>
      </c>
    </row>
    <row r="13" spans="1:10" s="3" customFormat="1" x14ac:dyDescent="0.25">
      <c r="A13" s="3">
        <v>12</v>
      </c>
      <c r="B13" s="3" t="s">
        <v>996</v>
      </c>
      <c r="C13" s="3" t="s">
        <v>617</v>
      </c>
      <c r="D13" s="3" t="s">
        <v>998</v>
      </c>
      <c r="E13" s="3" t="s">
        <v>502</v>
      </c>
      <c r="F13" s="3" t="s">
        <v>502</v>
      </c>
      <c r="G13" s="3" t="s">
        <v>146</v>
      </c>
      <c r="H13" s="3" t="s">
        <v>871</v>
      </c>
      <c r="I13" s="3" t="s">
        <v>881</v>
      </c>
      <c r="J13" s="3" t="s">
        <v>9</v>
      </c>
    </row>
    <row r="14" spans="1:10" s="3" customFormat="1" x14ac:dyDescent="0.25">
      <c r="A14" s="3">
        <v>13</v>
      </c>
      <c r="B14" s="3" t="s">
        <v>996</v>
      </c>
      <c r="C14" s="3" t="s">
        <v>621</v>
      </c>
      <c r="D14" s="3" t="s">
        <v>998</v>
      </c>
      <c r="E14" s="3" t="s">
        <v>502</v>
      </c>
      <c r="F14" s="3" t="s">
        <v>502</v>
      </c>
      <c r="G14" s="3" t="s">
        <v>154</v>
      </c>
      <c r="H14" s="3" t="s">
        <v>871</v>
      </c>
      <c r="I14" s="3" t="s">
        <v>878</v>
      </c>
      <c r="J14" s="3" t="s">
        <v>9</v>
      </c>
    </row>
    <row r="15" spans="1:10" s="3" customFormat="1" x14ac:dyDescent="0.25">
      <c r="A15" s="3">
        <v>14</v>
      </c>
      <c r="B15" s="3" t="s">
        <v>996</v>
      </c>
      <c r="C15" s="3" t="s">
        <v>806</v>
      </c>
      <c r="D15" s="3" t="s">
        <v>997</v>
      </c>
      <c r="E15" s="3" t="s">
        <v>502</v>
      </c>
      <c r="F15" s="3" t="s">
        <v>502</v>
      </c>
      <c r="G15" s="3" t="s">
        <v>502</v>
      </c>
      <c r="H15" s="3" t="s">
        <v>871</v>
      </c>
      <c r="I15" s="3" t="s">
        <v>883</v>
      </c>
      <c r="J15" s="3" t="s">
        <v>9</v>
      </c>
    </row>
    <row r="16" spans="1:10" s="3" customFormat="1" x14ac:dyDescent="0.25">
      <c r="A16" s="3">
        <v>15</v>
      </c>
      <c r="B16" s="3" t="s">
        <v>996</v>
      </c>
      <c r="C16" s="3" t="s">
        <v>806</v>
      </c>
      <c r="D16" s="3" t="s">
        <v>997</v>
      </c>
      <c r="E16" s="3" t="s">
        <v>502</v>
      </c>
      <c r="F16" s="3" t="s">
        <v>502</v>
      </c>
      <c r="G16" s="3" t="s">
        <v>502</v>
      </c>
      <c r="H16" s="3" t="s">
        <v>871</v>
      </c>
      <c r="I16" s="3" t="s">
        <v>883</v>
      </c>
      <c r="J16" s="3" t="s">
        <v>9</v>
      </c>
    </row>
    <row r="17" spans="1:10" s="3" customFormat="1" x14ac:dyDescent="0.25">
      <c r="A17" s="3">
        <v>16</v>
      </c>
      <c r="B17" s="3" t="s">
        <v>996</v>
      </c>
      <c r="C17" s="3" t="s">
        <v>82</v>
      </c>
      <c r="D17" s="3" t="s">
        <v>997</v>
      </c>
      <c r="E17" s="3" t="s">
        <v>502</v>
      </c>
      <c r="F17" s="3" t="s">
        <v>502</v>
      </c>
      <c r="G17" s="3" t="s">
        <v>502</v>
      </c>
      <c r="H17" s="3" t="s">
        <v>871</v>
      </c>
      <c r="I17" s="3" t="s">
        <v>885</v>
      </c>
      <c r="J17" s="3" t="s">
        <v>9</v>
      </c>
    </row>
    <row r="18" spans="1:10" s="3" customFormat="1" x14ac:dyDescent="0.25">
      <c r="A18" s="3">
        <v>17</v>
      </c>
      <c r="B18" s="3" t="s">
        <v>996</v>
      </c>
      <c r="C18" s="3" t="s">
        <v>161</v>
      </c>
      <c r="D18" s="3" t="s">
        <v>997</v>
      </c>
      <c r="E18" s="3" t="s">
        <v>625</v>
      </c>
      <c r="F18" s="3" t="s">
        <v>626</v>
      </c>
      <c r="G18" s="3" t="s">
        <v>502</v>
      </c>
      <c r="H18" s="3" t="s">
        <v>871</v>
      </c>
      <c r="I18" s="3" t="s">
        <v>874</v>
      </c>
      <c r="J18" s="3" t="s">
        <v>9</v>
      </c>
    </row>
    <row r="19" spans="1:10" s="3" customFormat="1" x14ac:dyDescent="0.25">
      <c r="A19" s="3">
        <v>18</v>
      </c>
      <c r="B19" s="3" t="s">
        <v>996</v>
      </c>
      <c r="C19" s="3" t="s">
        <v>161</v>
      </c>
      <c r="D19" s="3" t="s">
        <v>997</v>
      </c>
      <c r="E19" s="3" t="s">
        <v>625</v>
      </c>
      <c r="F19" s="3" t="s">
        <v>626</v>
      </c>
      <c r="G19" s="3" t="s">
        <v>502</v>
      </c>
      <c r="H19" s="3" t="s">
        <v>871</v>
      </c>
      <c r="I19" s="3" t="s">
        <v>875</v>
      </c>
      <c r="J19" s="3" t="s">
        <v>9</v>
      </c>
    </row>
    <row r="20" spans="1:10" s="3" customFormat="1" x14ac:dyDescent="0.25">
      <c r="A20" s="3">
        <v>19</v>
      </c>
      <c r="B20" s="3" t="s">
        <v>996</v>
      </c>
      <c r="C20" s="3" t="s">
        <v>161</v>
      </c>
      <c r="D20" s="3" t="s">
        <v>997</v>
      </c>
      <c r="E20" s="3" t="s">
        <v>625</v>
      </c>
      <c r="F20" s="3" t="s">
        <v>626</v>
      </c>
      <c r="G20" s="3" t="s">
        <v>502</v>
      </c>
      <c r="H20" s="3" t="s">
        <v>871</v>
      </c>
      <c r="I20" s="3" t="s">
        <v>876</v>
      </c>
      <c r="J20" s="3" t="s">
        <v>9</v>
      </c>
    </row>
    <row r="21" spans="1:10" s="3" customFormat="1" x14ac:dyDescent="0.25">
      <c r="A21" s="3">
        <v>20</v>
      </c>
      <c r="B21" s="3" t="s">
        <v>996</v>
      </c>
      <c r="C21" s="3" t="s">
        <v>168</v>
      </c>
      <c r="D21" s="3" t="s">
        <v>997</v>
      </c>
      <c r="E21" s="3" t="s">
        <v>631</v>
      </c>
      <c r="F21" s="3" t="s">
        <v>632</v>
      </c>
      <c r="G21" s="3" t="s">
        <v>502</v>
      </c>
      <c r="H21" s="3" t="s">
        <v>871</v>
      </c>
      <c r="I21" s="3" t="s">
        <v>872</v>
      </c>
      <c r="J21" s="3" t="s">
        <v>9</v>
      </c>
    </row>
    <row r="22" spans="1:10" s="3" customFormat="1" x14ac:dyDescent="0.25">
      <c r="A22" s="3">
        <v>21</v>
      </c>
      <c r="B22" s="3" t="s">
        <v>996</v>
      </c>
      <c r="C22" s="3" t="s">
        <v>637</v>
      </c>
      <c r="D22" s="3" t="s">
        <v>998</v>
      </c>
      <c r="E22" s="3" t="s">
        <v>502</v>
      </c>
      <c r="F22" s="3" t="s">
        <v>502</v>
      </c>
      <c r="G22" s="3" t="s">
        <v>175</v>
      </c>
      <c r="H22" s="3" t="s">
        <v>871</v>
      </c>
      <c r="I22" s="3" t="s">
        <v>880</v>
      </c>
      <c r="J22" s="3" t="s">
        <v>9</v>
      </c>
    </row>
    <row r="23" spans="1:10" s="3" customFormat="1" x14ac:dyDescent="0.25">
      <c r="A23" s="3">
        <v>22</v>
      </c>
      <c r="B23" s="3" t="s">
        <v>996</v>
      </c>
      <c r="C23" s="3" t="s">
        <v>637</v>
      </c>
      <c r="D23" s="3" t="s">
        <v>998</v>
      </c>
      <c r="E23" s="3" t="s">
        <v>502</v>
      </c>
      <c r="F23" s="3" t="s">
        <v>502</v>
      </c>
      <c r="G23" s="3" t="s">
        <v>175</v>
      </c>
      <c r="H23" s="3" t="s">
        <v>871</v>
      </c>
      <c r="I23" s="3" t="s">
        <v>881</v>
      </c>
      <c r="J23" s="3" t="s">
        <v>9</v>
      </c>
    </row>
    <row r="24" spans="1:10" s="3" customFormat="1" x14ac:dyDescent="0.25">
      <c r="A24" s="3">
        <v>23</v>
      </c>
      <c r="B24" s="3" t="s">
        <v>996</v>
      </c>
      <c r="C24" s="3" t="s">
        <v>641</v>
      </c>
      <c r="D24" s="3" t="s">
        <v>998</v>
      </c>
      <c r="E24" s="3" t="s">
        <v>502</v>
      </c>
      <c r="F24" s="3" t="s">
        <v>502</v>
      </c>
      <c r="G24" s="3" t="s">
        <v>181</v>
      </c>
      <c r="H24" s="3" t="s">
        <v>871</v>
      </c>
      <c r="I24" s="3" t="s">
        <v>878</v>
      </c>
      <c r="J24" s="3" t="s">
        <v>9</v>
      </c>
    </row>
    <row r="25" spans="1:10" s="3" customFormat="1" x14ac:dyDescent="0.25">
      <c r="A25" s="3">
        <v>24</v>
      </c>
      <c r="B25" s="3" t="s">
        <v>996</v>
      </c>
      <c r="C25" s="3" t="s">
        <v>811</v>
      </c>
      <c r="D25" s="3" t="s">
        <v>997</v>
      </c>
      <c r="E25" s="3" t="s">
        <v>502</v>
      </c>
      <c r="F25" s="3" t="s">
        <v>502</v>
      </c>
      <c r="G25" s="3" t="s">
        <v>502</v>
      </c>
      <c r="H25" s="3" t="s">
        <v>871</v>
      </c>
      <c r="I25" s="3" t="s">
        <v>883</v>
      </c>
      <c r="J25" s="3" t="s">
        <v>9</v>
      </c>
    </row>
    <row r="26" spans="1:10" s="3" customFormat="1" x14ac:dyDescent="0.25">
      <c r="A26" s="3">
        <v>25</v>
      </c>
      <c r="B26" s="3" t="s">
        <v>996</v>
      </c>
      <c r="C26" s="3" t="s">
        <v>811</v>
      </c>
      <c r="D26" s="3" t="s">
        <v>997</v>
      </c>
      <c r="E26" s="3" t="s">
        <v>502</v>
      </c>
      <c r="F26" s="3" t="s">
        <v>502</v>
      </c>
      <c r="G26" s="3" t="s">
        <v>502</v>
      </c>
      <c r="H26" s="3" t="s">
        <v>871</v>
      </c>
      <c r="I26" s="3" t="s">
        <v>883</v>
      </c>
      <c r="J26" s="3" t="s">
        <v>9</v>
      </c>
    </row>
    <row r="27" spans="1:10" s="3" customFormat="1" x14ac:dyDescent="0.25">
      <c r="A27" s="3">
        <v>26</v>
      </c>
      <c r="B27" s="3" t="s">
        <v>996</v>
      </c>
      <c r="C27" s="3" t="s">
        <v>91</v>
      </c>
      <c r="D27" s="3" t="s">
        <v>997</v>
      </c>
      <c r="E27" s="3" t="s">
        <v>502</v>
      </c>
      <c r="F27" s="3" t="s">
        <v>502</v>
      </c>
      <c r="G27" s="3" t="s">
        <v>502</v>
      </c>
      <c r="H27" s="3" t="s">
        <v>871</v>
      </c>
      <c r="I27" s="3" t="s">
        <v>885</v>
      </c>
      <c r="J27" s="3" t="s">
        <v>9</v>
      </c>
    </row>
    <row r="28" spans="1:10" s="3" customFormat="1" x14ac:dyDescent="0.25">
      <c r="A28" s="3">
        <v>27</v>
      </c>
      <c r="B28" s="3" t="s">
        <v>996</v>
      </c>
      <c r="C28" s="3" t="s">
        <v>187</v>
      </c>
      <c r="D28" s="3" t="s">
        <v>997</v>
      </c>
      <c r="E28" s="3" t="s">
        <v>645</v>
      </c>
      <c r="F28" s="3" t="s">
        <v>646</v>
      </c>
      <c r="G28" s="3" t="s">
        <v>502</v>
      </c>
      <c r="H28" s="3" t="s">
        <v>871</v>
      </c>
      <c r="I28" s="3" t="s">
        <v>874</v>
      </c>
      <c r="J28" s="3" t="s">
        <v>9</v>
      </c>
    </row>
    <row r="29" spans="1:10" s="3" customFormat="1" x14ac:dyDescent="0.25">
      <c r="A29" s="3">
        <v>28</v>
      </c>
      <c r="B29" s="3" t="s">
        <v>996</v>
      </c>
      <c r="C29" s="3" t="s">
        <v>187</v>
      </c>
      <c r="D29" s="3" t="s">
        <v>997</v>
      </c>
      <c r="E29" s="3" t="s">
        <v>645</v>
      </c>
      <c r="F29" s="3" t="s">
        <v>646</v>
      </c>
      <c r="G29" s="3" t="s">
        <v>502</v>
      </c>
      <c r="H29" s="3" t="s">
        <v>871</v>
      </c>
      <c r="I29" s="3" t="s">
        <v>875</v>
      </c>
      <c r="J29" s="3" t="s">
        <v>9</v>
      </c>
    </row>
    <row r="30" spans="1:10" s="3" customFormat="1" x14ac:dyDescent="0.25">
      <c r="A30" s="3">
        <v>29</v>
      </c>
      <c r="B30" s="3" t="s">
        <v>996</v>
      </c>
      <c r="C30" s="3" t="s">
        <v>187</v>
      </c>
      <c r="D30" s="3" t="s">
        <v>997</v>
      </c>
      <c r="E30" s="3" t="s">
        <v>645</v>
      </c>
      <c r="F30" s="3" t="s">
        <v>646</v>
      </c>
      <c r="G30" s="3" t="s">
        <v>502</v>
      </c>
      <c r="H30" s="3" t="s">
        <v>871</v>
      </c>
      <c r="I30" s="3" t="s">
        <v>876</v>
      </c>
      <c r="J30" s="3" t="s">
        <v>9</v>
      </c>
    </row>
    <row r="31" spans="1:10" s="3" customFormat="1" x14ac:dyDescent="0.25">
      <c r="A31" s="3">
        <v>30</v>
      </c>
      <c r="B31" s="3" t="s">
        <v>996</v>
      </c>
      <c r="C31" s="3" t="s">
        <v>194</v>
      </c>
      <c r="D31" s="3" t="s">
        <v>997</v>
      </c>
      <c r="E31" s="3" t="s">
        <v>651</v>
      </c>
      <c r="F31" s="3" t="s">
        <v>652</v>
      </c>
      <c r="G31" s="3" t="s">
        <v>502</v>
      </c>
      <c r="H31" s="3" t="s">
        <v>871</v>
      </c>
      <c r="I31" s="3" t="s">
        <v>872</v>
      </c>
      <c r="J31" s="3" t="s">
        <v>9</v>
      </c>
    </row>
    <row r="32" spans="1:10" s="3" customFormat="1" x14ac:dyDescent="0.25">
      <c r="A32" s="3">
        <v>31</v>
      </c>
      <c r="B32" s="3" t="s">
        <v>996</v>
      </c>
      <c r="C32" s="3" t="s">
        <v>657</v>
      </c>
      <c r="D32" s="3" t="s">
        <v>998</v>
      </c>
      <c r="E32" s="3" t="s">
        <v>502</v>
      </c>
      <c r="F32" s="3" t="s">
        <v>502</v>
      </c>
      <c r="G32" s="3" t="s">
        <v>201</v>
      </c>
      <c r="H32" s="3" t="s">
        <v>871</v>
      </c>
      <c r="I32" s="3" t="s">
        <v>880</v>
      </c>
      <c r="J32" s="3" t="s">
        <v>9</v>
      </c>
    </row>
    <row r="33" spans="1:10" s="3" customFormat="1" x14ac:dyDescent="0.25">
      <c r="A33" s="3">
        <v>32</v>
      </c>
      <c r="B33" s="3" t="s">
        <v>996</v>
      </c>
      <c r="C33" s="3" t="s">
        <v>657</v>
      </c>
      <c r="D33" s="3" t="s">
        <v>998</v>
      </c>
      <c r="E33" s="3" t="s">
        <v>502</v>
      </c>
      <c r="F33" s="3" t="s">
        <v>502</v>
      </c>
      <c r="G33" s="3" t="s">
        <v>201</v>
      </c>
      <c r="H33" s="3" t="s">
        <v>871</v>
      </c>
      <c r="I33" s="3" t="s">
        <v>881</v>
      </c>
      <c r="J33" s="3" t="s">
        <v>9</v>
      </c>
    </row>
    <row r="34" spans="1:10" s="3" customFormat="1" x14ac:dyDescent="0.25">
      <c r="A34" s="3">
        <v>33</v>
      </c>
      <c r="B34" s="3" t="s">
        <v>996</v>
      </c>
      <c r="C34" s="3" t="s">
        <v>661</v>
      </c>
      <c r="D34" s="3" t="s">
        <v>998</v>
      </c>
      <c r="E34" s="3" t="s">
        <v>502</v>
      </c>
      <c r="F34" s="3" t="s">
        <v>502</v>
      </c>
      <c r="G34" s="3" t="s">
        <v>207</v>
      </c>
      <c r="H34" s="3" t="s">
        <v>871</v>
      </c>
      <c r="I34" s="3" t="s">
        <v>878</v>
      </c>
      <c r="J34" s="3" t="s">
        <v>9</v>
      </c>
    </row>
    <row r="35" spans="1:10" s="3" customFormat="1" x14ac:dyDescent="0.25">
      <c r="A35" s="3">
        <v>34</v>
      </c>
      <c r="B35" s="3" t="s">
        <v>996</v>
      </c>
      <c r="C35" s="3" t="s">
        <v>816</v>
      </c>
      <c r="D35" s="3" t="s">
        <v>997</v>
      </c>
      <c r="E35" s="3" t="s">
        <v>502</v>
      </c>
      <c r="F35" s="3" t="s">
        <v>502</v>
      </c>
      <c r="G35" s="3" t="s">
        <v>502</v>
      </c>
      <c r="H35" s="3" t="s">
        <v>871</v>
      </c>
      <c r="I35" s="3" t="s">
        <v>883</v>
      </c>
      <c r="J35" s="3" t="s">
        <v>9</v>
      </c>
    </row>
    <row r="36" spans="1:10" s="3" customFormat="1" x14ac:dyDescent="0.25">
      <c r="A36" s="3">
        <v>35</v>
      </c>
      <c r="B36" s="3" t="s">
        <v>996</v>
      </c>
      <c r="C36" s="3" t="s">
        <v>816</v>
      </c>
      <c r="D36" s="3" t="s">
        <v>997</v>
      </c>
      <c r="E36" s="3" t="s">
        <v>502</v>
      </c>
      <c r="F36" s="3" t="s">
        <v>502</v>
      </c>
      <c r="G36" s="3" t="s">
        <v>502</v>
      </c>
      <c r="H36" s="3" t="s">
        <v>871</v>
      </c>
      <c r="I36" s="3" t="s">
        <v>883</v>
      </c>
      <c r="J36" s="3" t="s">
        <v>9</v>
      </c>
    </row>
    <row r="37" spans="1:10" s="3" customFormat="1" x14ac:dyDescent="0.25">
      <c r="A37" s="3">
        <v>36</v>
      </c>
      <c r="B37" s="3" t="s">
        <v>996</v>
      </c>
      <c r="C37" s="3" t="s">
        <v>95</v>
      </c>
      <c r="D37" s="3" t="s">
        <v>997</v>
      </c>
      <c r="E37" s="3" t="s">
        <v>502</v>
      </c>
      <c r="F37" s="3" t="s">
        <v>502</v>
      </c>
      <c r="G37" s="3" t="s">
        <v>502</v>
      </c>
      <c r="H37" s="3" t="s">
        <v>871</v>
      </c>
      <c r="I37" s="3" t="s">
        <v>885</v>
      </c>
      <c r="J37" s="3" t="s">
        <v>9</v>
      </c>
    </row>
    <row r="38" spans="1:10" s="3" customFormat="1" x14ac:dyDescent="0.25">
      <c r="A38" s="3">
        <v>37</v>
      </c>
      <c r="B38" s="3" t="s">
        <v>996</v>
      </c>
      <c r="C38" s="3" t="s">
        <v>213</v>
      </c>
      <c r="D38" s="3" t="s">
        <v>997</v>
      </c>
      <c r="E38" s="3" t="s">
        <v>665</v>
      </c>
      <c r="F38" s="3" t="s">
        <v>666</v>
      </c>
      <c r="G38" s="3" t="s">
        <v>502</v>
      </c>
      <c r="H38" s="3" t="s">
        <v>871</v>
      </c>
      <c r="I38" s="3" t="s">
        <v>874</v>
      </c>
      <c r="J38" s="3" t="s">
        <v>9</v>
      </c>
    </row>
    <row r="39" spans="1:10" s="3" customFormat="1" x14ac:dyDescent="0.25">
      <c r="A39" s="3">
        <v>38</v>
      </c>
      <c r="B39" s="3" t="s">
        <v>996</v>
      </c>
      <c r="C39" s="3" t="s">
        <v>213</v>
      </c>
      <c r="D39" s="3" t="s">
        <v>997</v>
      </c>
      <c r="E39" s="3" t="s">
        <v>665</v>
      </c>
      <c r="F39" s="3" t="s">
        <v>666</v>
      </c>
      <c r="G39" s="3" t="s">
        <v>502</v>
      </c>
      <c r="H39" s="3" t="s">
        <v>871</v>
      </c>
      <c r="I39" s="3" t="s">
        <v>875</v>
      </c>
      <c r="J39" s="3" t="s">
        <v>9</v>
      </c>
    </row>
    <row r="40" spans="1:10" s="3" customFormat="1" x14ac:dyDescent="0.25">
      <c r="A40" s="3">
        <v>39</v>
      </c>
      <c r="B40" s="3" t="s">
        <v>996</v>
      </c>
      <c r="C40" s="3" t="s">
        <v>213</v>
      </c>
      <c r="D40" s="3" t="s">
        <v>997</v>
      </c>
      <c r="E40" s="3" t="s">
        <v>665</v>
      </c>
      <c r="F40" s="3" t="s">
        <v>666</v>
      </c>
      <c r="G40" s="3" t="s">
        <v>502</v>
      </c>
      <c r="H40" s="3" t="s">
        <v>871</v>
      </c>
      <c r="I40" s="3" t="s">
        <v>876</v>
      </c>
      <c r="J40" s="3" t="s">
        <v>9</v>
      </c>
    </row>
    <row r="41" spans="1:10" s="3" customFormat="1" x14ac:dyDescent="0.25">
      <c r="A41" s="3">
        <v>40</v>
      </c>
      <c r="B41" s="3" t="s">
        <v>996</v>
      </c>
      <c r="C41" s="3" t="s">
        <v>220</v>
      </c>
      <c r="D41" s="3" t="s">
        <v>997</v>
      </c>
      <c r="E41" s="3" t="s">
        <v>671</v>
      </c>
      <c r="F41" s="3" t="s">
        <v>672</v>
      </c>
      <c r="G41" s="3" t="s">
        <v>502</v>
      </c>
      <c r="H41" s="3" t="s">
        <v>871</v>
      </c>
      <c r="I41" s="3" t="s">
        <v>872</v>
      </c>
      <c r="J41" s="3" t="s">
        <v>9</v>
      </c>
    </row>
    <row r="42" spans="1:10" s="3" customFormat="1" x14ac:dyDescent="0.25">
      <c r="A42" s="3">
        <v>41</v>
      </c>
      <c r="B42" s="3" t="s">
        <v>996</v>
      </c>
      <c r="C42" s="3" t="s">
        <v>677</v>
      </c>
      <c r="D42" s="3" t="s">
        <v>998</v>
      </c>
      <c r="E42" s="3" t="s">
        <v>502</v>
      </c>
      <c r="F42" s="3" t="s">
        <v>502</v>
      </c>
      <c r="G42" s="3" t="s">
        <v>227</v>
      </c>
      <c r="H42" s="3" t="s">
        <v>871</v>
      </c>
      <c r="I42" s="3" t="s">
        <v>880</v>
      </c>
      <c r="J42" s="3" t="s">
        <v>9</v>
      </c>
    </row>
    <row r="43" spans="1:10" s="3" customFormat="1" x14ac:dyDescent="0.25">
      <c r="A43" s="3">
        <v>42</v>
      </c>
      <c r="B43" s="3" t="s">
        <v>996</v>
      </c>
      <c r="C43" s="3" t="s">
        <v>677</v>
      </c>
      <c r="D43" s="3" t="s">
        <v>998</v>
      </c>
      <c r="E43" s="3" t="s">
        <v>502</v>
      </c>
      <c r="F43" s="3" t="s">
        <v>502</v>
      </c>
      <c r="G43" s="3" t="s">
        <v>227</v>
      </c>
      <c r="H43" s="3" t="s">
        <v>871</v>
      </c>
      <c r="I43" s="3" t="s">
        <v>881</v>
      </c>
      <c r="J43" s="3" t="s">
        <v>9</v>
      </c>
    </row>
    <row r="44" spans="1:10" s="3" customFormat="1" x14ac:dyDescent="0.25">
      <c r="A44" s="3">
        <v>43</v>
      </c>
      <c r="B44" s="3" t="s">
        <v>996</v>
      </c>
      <c r="C44" s="3" t="s">
        <v>681</v>
      </c>
      <c r="D44" s="3" t="s">
        <v>998</v>
      </c>
      <c r="E44" s="3" t="s">
        <v>502</v>
      </c>
      <c r="F44" s="3" t="s">
        <v>502</v>
      </c>
      <c r="G44" s="3" t="s">
        <v>233</v>
      </c>
      <c r="H44" s="3" t="s">
        <v>871</v>
      </c>
      <c r="I44" s="3" t="s">
        <v>878</v>
      </c>
      <c r="J44" s="3" t="s">
        <v>9</v>
      </c>
    </row>
    <row r="45" spans="1:10" s="3" customFormat="1" x14ac:dyDescent="0.25">
      <c r="A45" s="3">
        <v>44</v>
      </c>
      <c r="B45" s="3" t="s">
        <v>996</v>
      </c>
      <c r="C45" s="3" t="s">
        <v>821</v>
      </c>
      <c r="D45" s="3" t="s">
        <v>997</v>
      </c>
      <c r="E45" s="3" t="s">
        <v>502</v>
      </c>
      <c r="F45" s="3" t="s">
        <v>502</v>
      </c>
      <c r="G45" s="3" t="s">
        <v>502</v>
      </c>
      <c r="H45" s="3" t="s">
        <v>871</v>
      </c>
      <c r="I45" s="3" t="s">
        <v>883</v>
      </c>
      <c r="J45" s="3" t="s">
        <v>9</v>
      </c>
    </row>
    <row r="46" spans="1:10" s="3" customFormat="1" x14ac:dyDescent="0.25">
      <c r="A46" s="3">
        <v>45</v>
      </c>
      <c r="B46" s="3" t="s">
        <v>996</v>
      </c>
      <c r="C46" s="3" t="s">
        <v>821</v>
      </c>
      <c r="D46" s="3" t="s">
        <v>997</v>
      </c>
      <c r="E46" s="3" t="s">
        <v>502</v>
      </c>
      <c r="F46" s="3" t="s">
        <v>502</v>
      </c>
      <c r="G46" s="3" t="s">
        <v>502</v>
      </c>
      <c r="H46" s="3" t="s">
        <v>871</v>
      </c>
      <c r="I46" s="3" t="s">
        <v>883</v>
      </c>
      <c r="J46" s="3" t="s">
        <v>9</v>
      </c>
    </row>
    <row r="47" spans="1:10" s="3" customFormat="1" x14ac:dyDescent="0.25">
      <c r="A47" s="3">
        <v>46</v>
      </c>
      <c r="B47" s="3" t="s">
        <v>996</v>
      </c>
      <c r="C47" s="3" t="s">
        <v>99</v>
      </c>
      <c r="D47" s="3" t="s">
        <v>997</v>
      </c>
      <c r="E47" s="3" t="s">
        <v>502</v>
      </c>
      <c r="F47" s="3" t="s">
        <v>502</v>
      </c>
      <c r="G47" s="3" t="s">
        <v>502</v>
      </c>
      <c r="H47" s="3" t="s">
        <v>871</v>
      </c>
      <c r="I47" s="3" t="s">
        <v>885</v>
      </c>
      <c r="J47" s="3" t="s">
        <v>9</v>
      </c>
    </row>
    <row r="48" spans="1:10" s="3" customFormat="1" x14ac:dyDescent="0.25">
      <c r="A48" s="3">
        <v>47</v>
      </c>
      <c r="B48" s="3" t="s">
        <v>996</v>
      </c>
      <c r="C48" s="3" t="s">
        <v>239</v>
      </c>
      <c r="D48" s="3" t="s">
        <v>997</v>
      </c>
      <c r="E48" s="3" t="s">
        <v>685</v>
      </c>
      <c r="F48" s="3" t="s">
        <v>686</v>
      </c>
      <c r="G48" s="3" t="s">
        <v>502</v>
      </c>
      <c r="H48" s="3" t="s">
        <v>871</v>
      </c>
      <c r="I48" s="3" t="s">
        <v>874</v>
      </c>
      <c r="J48" s="3" t="s">
        <v>9</v>
      </c>
    </row>
    <row r="49" spans="1:10" s="3" customFormat="1" x14ac:dyDescent="0.25">
      <c r="A49" s="3">
        <v>48</v>
      </c>
      <c r="B49" s="3" t="s">
        <v>996</v>
      </c>
      <c r="C49" s="3" t="s">
        <v>239</v>
      </c>
      <c r="D49" s="3" t="s">
        <v>997</v>
      </c>
      <c r="E49" s="3" t="s">
        <v>685</v>
      </c>
      <c r="F49" s="3" t="s">
        <v>686</v>
      </c>
      <c r="G49" s="3" t="s">
        <v>502</v>
      </c>
      <c r="H49" s="3" t="s">
        <v>871</v>
      </c>
      <c r="I49" s="3" t="s">
        <v>875</v>
      </c>
      <c r="J49" s="3" t="s">
        <v>9</v>
      </c>
    </row>
    <row r="50" spans="1:10" s="3" customFormat="1" x14ac:dyDescent="0.25">
      <c r="A50" s="3">
        <v>49</v>
      </c>
      <c r="B50" s="3" t="s">
        <v>996</v>
      </c>
      <c r="C50" s="3" t="s">
        <v>239</v>
      </c>
      <c r="D50" s="3" t="s">
        <v>997</v>
      </c>
      <c r="E50" s="3" t="s">
        <v>685</v>
      </c>
      <c r="F50" s="3" t="s">
        <v>686</v>
      </c>
      <c r="G50" s="3" t="s">
        <v>502</v>
      </c>
      <c r="H50" s="3" t="s">
        <v>871</v>
      </c>
      <c r="I50" s="3" t="s">
        <v>876</v>
      </c>
      <c r="J50" s="3" t="s">
        <v>9</v>
      </c>
    </row>
    <row r="51" spans="1:10" s="3" customFormat="1" x14ac:dyDescent="0.25">
      <c r="A51" s="3">
        <v>50</v>
      </c>
      <c r="B51" s="3" t="s">
        <v>996</v>
      </c>
      <c r="C51" s="3" t="s">
        <v>246</v>
      </c>
      <c r="D51" s="3" t="s">
        <v>997</v>
      </c>
      <c r="E51" s="3" t="s">
        <v>691</v>
      </c>
      <c r="F51" s="3" t="s">
        <v>692</v>
      </c>
      <c r="G51" s="3" t="s">
        <v>502</v>
      </c>
      <c r="H51" s="3" t="s">
        <v>871</v>
      </c>
      <c r="I51" s="3" t="s">
        <v>872</v>
      </c>
      <c r="J51" s="3" t="s">
        <v>9</v>
      </c>
    </row>
    <row r="52" spans="1:10" s="3" customFormat="1" x14ac:dyDescent="0.25">
      <c r="A52" s="3">
        <v>51</v>
      </c>
      <c r="B52" s="3" t="s">
        <v>996</v>
      </c>
      <c r="C52" s="3" t="s">
        <v>697</v>
      </c>
      <c r="D52" s="3" t="s">
        <v>998</v>
      </c>
      <c r="E52" s="3" t="s">
        <v>502</v>
      </c>
      <c r="F52" s="3" t="s">
        <v>502</v>
      </c>
      <c r="G52" s="3" t="s">
        <v>253</v>
      </c>
      <c r="H52" s="3" t="s">
        <v>871</v>
      </c>
      <c r="I52" s="3" t="s">
        <v>880</v>
      </c>
      <c r="J52" s="3" t="s">
        <v>9</v>
      </c>
    </row>
    <row r="53" spans="1:10" s="3" customFormat="1" x14ac:dyDescent="0.25">
      <c r="A53" s="3">
        <v>52</v>
      </c>
      <c r="B53" s="3" t="s">
        <v>996</v>
      </c>
      <c r="C53" s="3" t="s">
        <v>697</v>
      </c>
      <c r="D53" s="3" t="s">
        <v>998</v>
      </c>
      <c r="E53" s="3" t="s">
        <v>502</v>
      </c>
      <c r="F53" s="3" t="s">
        <v>502</v>
      </c>
      <c r="G53" s="3" t="s">
        <v>253</v>
      </c>
      <c r="H53" s="3" t="s">
        <v>871</v>
      </c>
      <c r="I53" s="3" t="s">
        <v>881</v>
      </c>
      <c r="J53" s="3" t="s">
        <v>9</v>
      </c>
    </row>
    <row r="54" spans="1:10" s="3" customFormat="1" x14ac:dyDescent="0.25">
      <c r="A54" s="3">
        <v>53</v>
      </c>
      <c r="B54" s="3" t="s">
        <v>996</v>
      </c>
      <c r="C54" s="3" t="s">
        <v>701</v>
      </c>
      <c r="D54" s="3" t="s">
        <v>998</v>
      </c>
      <c r="E54" s="3" t="s">
        <v>502</v>
      </c>
      <c r="F54" s="3" t="s">
        <v>502</v>
      </c>
      <c r="G54" s="3" t="s">
        <v>259</v>
      </c>
      <c r="H54" s="3" t="s">
        <v>871</v>
      </c>
      <c r="I54" s="3" t="s">
        <v>878</v>
      </c>
      <c r="J54" s="3" t="s">
        <v>9</v>
      </c>
    </row>
    <row r="55" spans="1:10" s="3" customFormat="1" x14ac:dyDescent="0.25">
      <c r="A55" s="3">
        <v>54</v>
      </c>
      <c r="B55" s="3" t="s">
        <v>996</v>
      </c>
      <c r="C55" s="3" t="s">
        <v>826</v>
      </c>
      <c r="D55" s="3" t="s">
        <v>997</v>
      </c>
      <c r="E55" s="3" t="s">
        <v>502</v>
      </c>
      <c r="F55" s="3" t="s">
        <v>502</v>
      </c>
      <c r="G55" s="3" t="s">
        <v>502</v>
      </c>
      <c r="H55" s="3" t="s">
        <v>871</v>
      </c>
      <c r="I55" s="3" t="s">
        <v>883</v>
      </c>
      <c r="J55" s="3" t="s">
        <v>9</v>
      </c>
    </row>
    <row r="56" spans="1:10" s="3" customFormat="1" x14ac:dyDescent="0.25">
      <c r="A56" s="3">
        <v>55</v>
      </c>
      <c r="B56" s="3" t="s">
        <v>996</v>
      </c>
      <c r="C56" s="3" t="s">
        <v>826</v>
      </c>
      <c r="D56" s="3" t="s">
        <v>997</v>
      </c>
      <c r="E56" s="3" t="s">
        <v>502</v>
      </c>
      <c r="F56" s="3" t="s">
        <v>502</v>
      </c>
      <c r="G56" s="3" t="s">
        <v>502</v>
      </c>
      <c r="H56" s="3" t="s">
        <v>871</v>
      </c>
      <c r="I56" s="3" t="s">
        <v>883</v>
      </c>
      <c r="J56" s="3" t="s">
        <v>9</v>
      </c>
    </row>
    <row r="57" spans="1:10" s="3" customFormat="1" x14ac:dyDescent="0.25">
      <c r="A57" s="3">
        <v>56</v>
      </c>
      <c r="B57" s="3" t="s">
        <v>996</v>
      </c>
      <c r="C57" s="3" t="s">
        <v>103</v>
      </c>
      <c r="D57" s="3" t="s">
        <v>997</v>
      </c>
      <c r="E57" s="3" t="s">
        <v>502</v>
      </c>
      <c r="F57" s="3" t="s">
        <v>502</v>
      </c>
      <c r="G57" s="3" t="s">
        <v>502</v>
      </c>
      <c r="H57" s="3" t="s">
        <v>871</v>
      </c>
      <c r="I57" s="3" t="s">
        <v>885</v>
      </c>
      <c r="J57" s="3" t="s">
        <v>9</v>
      </c>
    </row>
    <row r="58" spans="1:10" s="3" customFormat="1" x14ac:dyDescent="0.25">
      <c r="A58" s="3">
        <v>57</v>
      </c>
      <c r="B58" s="3" t="s">
        <v>996</v>
      </c>
      <c r="C58" s="3" t="s">
        <v>265</v>
      </c>
      <c r="D58" s="3" t="s">
        <v>997</v>
      </c>
      <c r="E58" s="3" t="s">
        <v>705</v>
      </c>
      <c r="F58" s="3" t="s">
        <v>706</v>
      </c>
      <c r="G58" s="3" t="s">
        <v>502</v>
      </c>
      <c r="H58" s="3" t="s">
        <v>871</v>
      </c>
      <c r="I58" s="3" t="s">
        <v>874</v>
      </c>
      <c r="J58" s="3" t="s">
        <v>9</v>
      </c>
    </row>
    <row r="59" spans="1:10" s="3" customFormat="1" x14ac:dyDescent="0.25">
      <c r="A59" s="3">
        <v>58</v>
      </c>
      <c r="B59" s="3" t="s">
        <v>996</v>
      </c>
      <c r="C59" s="3" t="s">
        <v>265</v>
      </c>
      <c r="D59" s="3" t="s">
        <v>997</v>
      </c>
      <c r="E59" s="3" t="s">
        <v>705</v>
      </c>
      <c r="F59" s="3" t="s">
        <v>706</v>
      </c>
      <c r="G59" s="3" t="s">
        <v>502</v>
      </c>
      <c r="H59" s="3" t="s">
        <v>871</v>
      </c>
      <c r="I59" s="3" t="s">
        <v>875</v>
      </c>
      <c r="J59" s="3" t="s">
        <v>9</v>
      </c>
    </row>
    <row r="60" spans="1:10" s="3" customFormat="1" x14ac:dyDescent="0.25">
      <c r="A60" s="3">
        <v>59</v>
      </c>
      <c r="B60" s="3" t="s">
        <v>996</v>
      </c>
      <c r="C60" s="3" t="s">
        <v>265</v>
      </c>
      <c r="D60" s="3" t="s">
        <v>997</v>
      </c>
      <c r="E60" s="3" t="s">
        <v>705</v>
      </c>
      <c r="F60" s="3" t="s">
        <v>706</v>
      </c>
      <c r="G60" s="3" t="s">
        <v>502</v>
      </c>
      <c r="H60" s="3" t="s">
        <v>871</v>
      </c>
      <c r="I60" s="3" t="s">
        <v>876</v>
      </c>
      <c r="J60" s="3" t="s">
        <v>9</v>
      </c>
    </row>
    <row r="61" spans="1:10" s="3" customFormat="1" x14ac:dyDescent="0.25">
      <c r="A61" s="3">
        <v>60</v>
      </c>
      <c r="B61" s="3" t="s">
        <v>996</v>
      </c>
      <c r="C61" s="3" t="s">
        <v>272</v>
      </c>
      <c r="D61" s="3" t="s">
        <v>997</v>
      </c>
      <c r="E61" s="3" t="s">
        <v>711</v>
      </c>
      <c r="F61" s="3" t="s">
        <v>712</v>
      </c>
      <c r="G61" s="3" t="s">
        <v>502</v>
      </c>
      <c r="H61" s="3" t="s">
        <v>871</v>
      </c>
      <c r="I61" s="3" t="s">
        <v>872</v>
      </c>
      <c r="J61" s="3" t="s">
        <v>9</v>
      </c>
    </row>
    <row r="62" spans="1:10" s="3" customFormat="1" x14ac:dyDescent="0.25">
      <c r="A62" s="3">
        <v>61</v>
      </c>
      <c r="B62" s="3" t="s">
        <v>996</v>
      </c>
      <c r="C62" s="3" t="s">
        <v>717</v>
      </c>
      <c r="D62" s="3" t="s">
        <v>998</v>
      </c>
      <c r="E62" s="3" t="s">
        <v>502</v>
      </c>
      <c r="F62" s="3" t="s">
        <v>502</v>
      </c>
      <c r="G62" s="3" t="s">
        <v>279</v>
      </c>
      <c r="H62" s="3" t="s">
        <v>871</v>
      </c>
      <c r="I62" s="3" t="s">
        <v>880</v>
      </c>
      <c r="J62" s="3" t="s">
        <v>9</v>
      </c>
    </row>
    <row r="63" spans="1:10" s="3" customFormat="1" x14ac:dyDescent="0.25">
      <c r="A63" s="3">
        <v>62</v>
      </c>
      <c r="B63" s="3" t="s">
        <v>996</v>
      </c>
      <c r="C63" s="3" t="s">
        <v>717</v>
      </c>
      <c r="D63" s="3" t="s">
        <v>998</v>
      </c>
      <c r="E63" s="3" t="s">
        <v>502</v>
      </c>
      <c r="F63" s="3" t="s">
        <v>502</v>
      </c>
      <c r="G63" s="3" t="s">
        <v>279</v>
      </c>
      <c r="H63" s="3" t="s">
        <v>871</v>
      </c>
      <c r="I63" s="3" t="s">
        <v>881</v>
      </c>
      <c r="J63" s="3" t="s">
        <v>9</v>
      </c>
    </row>
    <row r="64" spans="1:10" s="3" customFormat="1" x14ac:dyDescent="0.25">
      <c r="A64" s="3">
        <v>63</v>
      </c>
      <c r="B64" s="3" t="s">
        <v>996</v>
      </c>
      <c r="C64" s="3" t="s">
        <v>721</v>
      </c>
      <c r="D64" s="3" t="s">
        <v>998</v>
      </c>
      <c r="E64" s="3" t="s">
        <v>502</v>
      </c>
      <c r="F64" s="3" t="s">
        <v>502</v>
      </c>
      <c r="G64" s="3" t="s">
        <v>285</v>
      </c>
      <c r="H64" s="3" t="s">
        <v>871</v>
      </c>
      <c r="I64" s="3" t="s">
        <v>878</v>
      </c>
      <c r="J64" s="3" t="s">
        <v>9</v>
      </c>
    </row>
    <row r="65" spans="1:10" s="3" customFormat="1" x14ac:dyDescent="0.25">
      <c r="A65" s="3">
        <v>64</v>
      </c>
      <c r="B65" s="3" t="s">
        <v>996</v>
      </c>
      <c r="C65" s="3" t="s">
        <v>831</v>
      </c>
      <c r="D65" s="3" t="s">
        <v>997</v>
      </c>
      <c r="E65" s="3" t="s">
        <v>502</v>
      </c>
      <c r="F65" s="3" t="s">
        <v>502</v>
      </c>
      <c r="G65" s="3" t="s">
        <v>502</v>
      </c>
      <c r="H65" s="3" t="s">
        <v>871</v>
      </c>
      <c r="I65" s="3" t="s">
        <v>883</v>
      </c>
      <c r="J65" s="3" t="s">
        <v>9</v>
      </c>
    </row>
    <row r="66" spans="1:10" s="3" customFormat="1" x14ac:dyDescent="0.25">
      <c r="A66" s="3">
        <v>65</v>
      </c>
      <c r="B66" s="3" t="s">
        <v>996</v>
      </c>
      <c r="C66" s="3" t="s">
        <v>831</v>
      </c>
      <c r="D66" s="3" t="s">
        <v>997</v>
      </c>
      <c r="E66" s="3" t="s">
        <v>502</v>
      </c>
      <c r="F66" s="3" t="s">
        <v>502</v>
      </c>
      <c r="G66" s="3" t="s">
        <v>502</v>
      </c>
      <c r="H66" s="3" t="s">
        <v>871</v>
      </c>
      <c r="I66" s="3" t="s">
        <v>883</v>
      </c>
      <c r="J66" s="3" t="s">
        <v>9</v>
      </c>
    </row>
    <row r="67" spans="1:10" s="3" customFormat="1" x14ac:dyDescent="0.25">
      <c r="A67" s="3">
        <v>66</v>
      </c>
      <c r="B67" s="3" t="s">
        <v>996</v>
      </c>
      <c r="C67" s="3" t="s">
        <v>107</v>
      </c>
      <c r="D67" s="3" t="s">
        <v>997</v>
      </c>
      <c r="E67" s="3" t="s">
        <v>502</v>
      </c>
      <c r="F67" s="3" t="s">
        <v>502</v>
      </c>
      <c r="G67" s="3" t="s">
        <v>502</v>
      </c>
      <c r="H67" s="3" t="s">
        <v>871</v>
      </c>
      <c r="I67" s="3" t="s">
        <v>885</v>
      </c>
      <c r="J67" s="3" t="s">
        <v>9</v>
      </c>
    </row>
    <row r="68" spans="1:10" s="3" customFormat="1" x14ac:dyDescent="0.25">
      <c r="A68" s="3">
        <v>67</v>
      </c>
      <c r="B68" s="3" t="s">
        <v>996</v>
      </c>
      <c r="C68" s="3" t="s">
        <v>291</v>
      </c>
      <c r="D68" s="3" t="s">
        <v>997</v>
      </c>
      <c r="E68" s="3" t="s">
        <v>725</v>
      </c>
      <c r="F68" s="3" t="s">
        <v>726</v>
      </c>
      <c r="G68" s="3" t="s">
        <v>502</v>
      </c>
      <c r="H68" s="3" t="s">
        <v>871</v>
      </c>
      <c r="I68" s="3" t="s">
        <v>874</v>
      </c>
      <c r="J68" s="3" t="s">
        <v>9</v>
      </c>
    </row>
    <row r="69" spans="1:10" s="3" customFormat="1" x14ac:dyDescent="0.25">
      <c r="A69" s="3">
        <v>68</v>
      </c>
      <c r="B69" s="3" t="s">
        <v>996</v>
      </c>
      <c r="C69" s="3" t="s">
        <v>291</v>
      </c>
      <c r="D69" s="3" t="s">
        <v>997</v>
      </c>
      <c r="E69" s="3" t="s">
        <v>725</v>
      </c>
      <c r="F69" s="3" t="s">
        <v>726</v>
      </c>
      <c r="G69" s="3" t="s">
        <v>502</v>
      </c>
      <c r="H69" s="3" t="s">
        <v>871</v>
      </c>
      <c r="I69" s="3" t="s">
        <v>875</v>
      </c>
      <c r="J69" s="3" t="s">
        <v>9</v>
      </c>
    </row>
    <row r="70" spans="1:10" s="3" customFormat="1" x14ac:dyDescent="0.25">
      <c r="A70" s="3">
        <v>69</v>
      </c>
      <c r="B70" s="3" t="s">
        <v>996</v>
      </c>
      <c r="C70" s="3" t="s">
        <v>291</v>
      </c>
      <c r="D70" s="3" t="s">
        <v>997</v>
      </c>
      <c r="E70" s="3" t="s">
        <v>725</v>
      </c>
      <c r="F70" s="3" t="s">
        <v>726</v>
      </c>
      <c r="G70" s="3" t="s">
        <v>502</v>
      </c>
      <c r="H70" s="3" t="s">
        <v>871</v>
      </c>
      <c r="I70" s="3" t="s">
        <v>876</v>
      </c>
      <c r="J70" s="3" t="s">
        <v>9</v>
      </c>
    </row>
    <row r="71" spans="1:10" s="3" customFormat="1" x14ac:dyDescent="0.25">
      <c r="A71" s="3">
        <v>70</v>
      </c>
      <c r="B71" s="3" t="s">
        <v>996</v>
      </c>
      <c r="C71" s="3" t="s">
        <v>298</v>
      </c>
      <c r="D71" s="3" t="s">
        <v>997</v>
      </c>
      <c r="E71" s="3" t="s">
        <v>731</v>
      </c>
      <c r="F71" s="3" t="s">
        <v>732</v>
      </c>
      <c r="G71" s="3" t="s">
        <v>502</v>
      </c>
      <c r="H71" s="3" t="s">
        <v>871</v>
      </c>
      <c r="I71" s="3" t="s">
        <v>872</v>
      </c>
      <c r="J71" s="3" t="s">
        <v>9</v>
      </c>
    </row>
    <row r="72" spans="1:10" s="3" customFormat="1" x14ac:dyDescent="0.25">
      <c r="A72" s="3">
        <v>71</v>
      </c>
      <c r="B72" s="3" t="s">
        <v>996</v>
      </c>
      <c r="C72" s="3" t="s">
        <v>737</v>
      </c>
      <c r="D72" s="3" t="s">
        <v>998</v>
      </c>
      <c r="E72" s="3" t="s">
        <v>502</v>
      </c>
      <c r="F72" s="3" t="s">
        <v>502</v>
      </c>
      <c r="G72" s="3" t="s">
        <v>305</v>
      </c>
      <c r="H72" s="3" t="s">
        <v>871</v>
      </c>
      <c r="I72" s="3" t="s">
        <v>880</v>
      </c>
      <c r="J72" s="3" t="s">
        <v>9</v>
      </c>
    </row>
    <row r="73" spans="1:10" s="3" customFormat="1" x14ac:dyDescent="0.25">
      <c r="A73" s="3">
        <v>72</v>
      </c>
      <c r="B73" s="3" t="s">
        <v>996</v>
      </c>
      <c r="C73" s="3" t="s">
        <v>737</v>
      </c>
      <c r="D73" s="3" t="s">
        <v>998</v>
      </c>
      <c r="E73" s="3" t="s">
        <v>502</v>
      </c>
      <c r="F73" s="3" t="s">
        <v>502</v>
      </c>
      <c r="G73" s="3" t="s">
        <v>305</v>
      </c>
      <c r="H73" s="3" t="s">
        <v>871</v>
      </c>
      <c r="I73" s="3" t="s">
        <v>881</v>
      </c>
      <c r="J73" s="3" t="s">
        <v>9</v>
      </c>
    </row>
    <row r="74" spans="1:10" s="3" customFormat="1" x14ac:dyDescent="0.25">
      <c r="A74" s="3">
        <v>73</v>
      </c>
      <c r="B74" s="3" t="s">
        <v>996</v>
      </c>
      <c r="C74" s="3" t="s">
        <v>741</v>
      </c>
      <c r="D74" s="3" t="s">
        <v>998</v>
      </c>
      <c r="E74" s="3" t="s">
        <v>502</v>
      </c>
      <c r="F74" s="3" t="s">
        <v>502</v>
      </c>
      <c r="G74" s="3" t="s">
        <v>311</v>
      </c>
      <c r="H74" s="3" t="s">
        <v>871</v>
      </c>
      <c r="I74" s="3" t="s">
        <v>878</v>
      </c>
      <c r="J74" s="3" t="s">
        <v>9</v>
      </c>
    </row>
    <row r="75" spans="1:10" s="3" customFormat="1" x14ac:dyDescent="0.25">
      <c r="A75" s="3">
        <v>74</v>
      </c>
      <c r="B75" s="3" t="s">
        <v>996</v>
      </c>
      <c r="C75" s="3" t="s">
        <v>836</v>
      </c>
      <c r="D75" s="3" t="s">
        <v>997</v>
      </c>
      <c r="E75" s="3" t="s">
        <v>502</v>
      </c>
      <c r="F75" s="3" t="s">
        <v>502</v>
      </c>
      <c r="G75" s="3" t="s">
        <v>502</v>
      </c>
      <c r="H75" s="3" t="s">
        <v>871</v>
      </c>
      <c r="I75" s="3" t="s">
        <v>883</v>
      </c>
      <c r="J75" s="3" t="s">
        <v>9</v>
      </c>
    </row>
    <row r="76" spans="1:10" s="3" customFormat="1" x14ac:dyDescent="0.25">
      <c r="A76" s="3">
        <v>75</v>
      </c>
      <c r="B76" s="3" t="s">
        <v>996</v>
      </c>
      <c r="C76" s="3" t="s">
        <v>836</v>
      </c>
      <c r="D76" s="3" t="s">
        <v>997</v>
      </c>
      <c r="E76" s="3" t="s">
        <v>502</v>
      </c>
      <c r="F76" s="3" t="s">
        <v>502</v>
      </c>
      <c r="G76" s="3" t="s">
        <v>502</v>
      </c>
      <c r="H76" s="3" t="s">
        <v>871</v>
      </c>
      <c r="I76" s="3" t="s">
        <v>883</v>
      </c>
      <c r="J76" s="3" t="s">
        <v>9</v>
      </c>
    </row>
    <row r="77" spans="1:10" s="3" customFormat="1" x14ac:dyDescent="0.25">
      <c r="A77" s="3">
        <v>76</v>
      </c>
      <c r="B77" s="3" t="s">
        <v>996</v>
      </c>
      <c r="C77" s="3" t="s">
        <v>111</v>
      </c>
      <c r="D77" s="3" t="s">
        <v>997</v>
      </c>
      <c r="E77" s="3" t="s">
        <v>502</v>
      </c>
      <c r="F77" s="3" t="s">
        <v>502</v>
      </c>
      <c r="G77" s="3" t="s">
        <v>502</v>
      </c>
      <c r="H77" s="3" t="s">
        <v>871</v>
      </c>
      <c r="I77" s="3" t="s">
        <v>885</v>
      </c>
      <c r="J77" s="3" t="s">
        <v>9</v>
      </c>
    </row>
    <row r="78" spans="1:10" s="3" customFormat="1" x14ac:dyDescent="0.25">
      <c r="A78" s="3">
        <v>77</v>
      </c>
      <c r="B78" s="3" t="s">
        <v>996</v>
      </c>
      <c r="C78" s="3" t="s">
        <v>317</v>
      </c>
      <c r="D78" s="3" t="s">
        <v>997</v>
      </c>
      <c r="E78" s="3" t="s">
        <v>745</v>
      </c>
      <c r="F78" s="3" t="s">
        <v>746</v>
      </c>
      <c r="G78" s="3" t="s">
        <v>502</v>
      </c>
      <c r="H78" s="3" t="s">
        <v>871</v>
      </c>
      <c r="I78" s="3" t="s">
        <v>874</v>
      </c>
      <c r="J78" s="3" t="s">
        <v>9</v>
      </c>
    </row>
    <row r="79" spans="1:10" s="3" customFormat="1" x14ac:dyDescent="0.25">
      <c r="A79" s="3">
        <v>78</v>
      </c>
      <c r="B79" s="3" t="s">
        <v>996</v>
      </c>
      <c r="C79" s="3" t="s">
        <v>317</v>
      </c>
      <c r="D79" s="3" t="s">
        <v>997</v>
      </c>
      <c r="E79" s="3" t="s">
        <v>745</v>
      </c>
      <c r="F79" s="3" t="s">
        <v>746</v>
      </c>
      <c r="G79" s="3" t="s">
        <v>502</v>
      </c>
      <c r="H79" s="3" t="s">
        <v>871</v>
      </c>
      <c r="I79" s="3" t="s">
        <v>875</v>
      </c>
      <c r="J79" s="3" t="s">
        <v>9</v>
      </c>
    </row>
    <row r="80" spans="1:10" s="3" customFormat="1" x14ac:dyDescent="0.25">
      <c r="A80" s="3">
        <v>79</v>
      </c>
      <c r="B80" s="3" t="s">
        <v>996</v>
      </c>
      <c r="C80" s="3" t="s">
        <v>317</v>
      </c>
      <c r="D80" s="3" t="s">
        <v>997</v>
      </c>
      <c r="E80" s="3" t="s">
        <v>745</v>
      </c>
      <c r="F80" s="3" t="s">
        <v>746</v>
      </c>
      <c r="G80" s="3" t="s">
        <v>502</v>
      </c>
      <c r="H80" s="3" t="s">
        <v>871</v>
      </c>
      <c r="I80" s="3" t="s">
        <v>876</v>
      </c>
      <c r="J80" s="3" t="s">
        <v>9</v>
      </c>
    </row>
    <row r="81" spans="1:10" s="3" customFormat="1" x14ac:dyDescent="0.25">
      <c r="A81" s="3">
        <v>80</v>
      </c>
      <c r="B81" s="3" t="s">
        <v>996</v>
      </c>
      <c r="C81" s="3" t="s">
        <v>324</v>
      </c>
      <c r="D81" s="3" t="s">
        <v>997</v>
      </c>
      <c r="E81" s="3" t="s">
        <v>751</v>
      </c>
      <c r="F81" s="3" t="s">
        <v>752</v>
      </c>
      <c r="G81" s="3" t="s">
        <v>502</v>
      </c>
      <c r="H81" s="3" t="s">
        <v>871</v>
      </c>
      <c r="I81" s="3" t="s">
        <v>872</v>
      </c>
      <c r="J81" s="3" t="s">
        <v>9</v>
      </c>
    </row>
    <row r="82" spans="1:10" s="3" customFormat="1" x14ac:dyDescent="0.25">
      <c r="A82" s="3">
        <v>81</v>
      </c>
      <c r="B82" s="3" t="s">
        <v>996</v>
      </c>
      <c r="C82" s="3" t="s">
        <v>757</v>
      </c>
      <c r="D82" s="3" t="s">
        <v>998</v>
      </c>
      <c r="E82" s="3" t="s">
        <v>502</v>
      </c>
      <c r="F82" s="3" t="s">
        <v>502</v>
      </c>
      <c r="G82" s="3" t="s">
        <v>331</v>
      </c>
      <c r="H82" s="3" t="s">
        <v>871</v>
      </c>
      <c r="I82" s="3" t="s">
        <v>880</v>
      </c>
      <c r="J82" s="3" t="s">
        <v>9</v>
      </c>
    </row>
    <row r="83" spans="1:10" s="3" customFormat="1" x14ac:dyDescent="0.25">
      <c r="A83" s="3">
        <v>82</v>
      </c>
      <c r="B83" s="3" t="s">
        <v>996</v>
      </c>
      <c r="C83" s="3" t="s">
        <v>757</v>
      </c>
      <c r="D83" s="3" t="s">
        <v>998</v>
      </c>
      <c r="E83" s="3" t="s">
        <v>502</v>
      </c>
      <c r="F83" s="3" t="s">
        <v>502</v>
      </c>
      <c r="G83" s="3" t="s">
        <v>331</v>
      </c>
      <c r="H83" s="3" t="s">
        <v>871</v>
      </c>
      <c r="I83" s="3" t="s">
        <v>881</v>
      </c>
      <c r="J83" s="3" t="s">
        <v>9</v>
      </c>
    </row>
    <row r="84" spans="1:10" s="3" customFormat="1" x14ac:dyDescent="0.25">
      <c r="A84" s="3">
        <v>83</v>
      </c>
      <c r="B84" s="3" t="s">
        <v>996</v>
      </c>
      <c r="C84" s="3" t="s">
        <v>761</v>
      </c>
      <c r="D84" s="3" t="s">
        <v>998</v>
      </c>
      <c r="E84" s="3" t="s">
        <v>502</v>
      </c>
      <c r="F84" s="3" t="s">
        <v>502</v>
      </c>
      <c r="G84" s="3" t="s">
        <v>337</v>
      </c>
      <c r="H84" s="3" t="s">
        <v>871</v>
      </c>
      <c r="I84" s="3" t="s">
        <v>878</v>
      </c>
      <c r="J84" s="3" t="s">
        <v>9</v>
      </c>
    </row>
    <row r="85" spans="1:10" s="3" customFormat="1" x14ac:dyDescent="0.25">
      <c r="A85" s="3">
        <v>84</v>
      </c>
      <c r="B85" s="3" t="s">
        <v>996</v>
      </c>
      <c r="C85" s="3" t="s">
        <v>841</v>
      </c>
      <c r="D85" s="3" t="s">
        <v>997</v>
      </c>
      <c r="E85" s="3" t="s">
        <v>502</v>
      </c>
      <c r="F85" s="3" t="s">
        <v>502</v>
      </c>
      <c r="G85" s="3" t="s">
        <v>502</v>
      </c>
      <c r="H85" s="3" t="s">
        <v>871</v>
      </c>
      <c r="I85" s="3" t="s">
        <v>883</v>
      </c>
      <c r="J85" s="3" t="s">
        <v>9</v>
      </c>
    </row>
    <row r="86" spans="1:10" s="3" customFormat="1" x14ac:dyDescent="0.25">
      <c r="A86" s="3">
        <v>85</v>
      </c>
      <c r="B86" s="3" t="s">
        <v>996</v>
      </c>
      <c r="C86" s="3" t="s">
        <v>841</v>
      </c>
      <c r="D86" s="3" t="s">
        <v>997</v>
      </c>
      <c r="E86" s="3" t="s">
        <v>502</v>
      </c>
      <c r="F86" s="3" t="s">
        <v>502</v>
      </c>
      <c r="G86" s="3" t="s">
        <v>502</v>
      </c>
      <c r="H86" s="3" t="s">
        <v>871</v>
      </c>
      <c r="I86" s="3" t="s">
        <v>883</v>
      </c>
      <c r="J86" s="3" t="s">
        <v>9</v>
      </c>
    </row>
    <row r="87" spans="1:10" s="3" customFormat="1" x14ac:dyDescent="0.25">
      <c r="A87" s="3">
        <v>86</v>
      </c>
      <c r="B87" s="3" t="s">
        <v>996</v>
      </c>
      <c r="C87" s="3" t="s">
        <v>115</v>
      </c>
      <c r="D87" s="3" t="s">
        <v>997</v>
      </c>
      <c r="E87" s="3" t="s">
        <v>502</v>
      </c>
      <c r="F87" s="3" t="s">
        <v>502</v>
      </c>
      <c r="G87" s="3" t="s">
        <v>502</v>
      </c>
      <c r="H87" s="3" t="s">
        <v>871</v>
      </c>
      <c r="I87" s="3" t="s">
        <v>885</v>
      </c>
      <c r="J87" s="3" t="s">
        <v>9</v>
      </c>
    </row>
    <row r="88" spans="1:10" s="3" customFormat="1" x14ac:dyDescent="0.25">
      <c r="A88" s="3">
        <v>87</v>
      </c>
      <c r="B88" s="3" t="s">
        <v>996</v>
      </c>
      <c r="C88" s="3" t="s">
        <v>343</v>
      </c>
      <c r="D88" s="3" t="s">
        <v>997</v>
      </c>
      <c r="E88" s="3" t="s">
        <v>765</v>
      </c>
      <c r="F88" s="3" t="s">
        <v>766</v>
      </c>
      <c r="G88" s="3" t="s">
        <v>502</v>
      </c>
      <c r="H88" s="3" t="s">
        <v>871</v>
      </c>
      <c r="I88" s="3" t="s">
        <v>874</v>
      </c>
      <c r="J88" s="3" t="s">
        <v>9</v>
      </c>
    </row>
    <row r="89" spans="1:10" s="3" customFormat="1" x14ac:dyDescent="0.25">
      <c r="A89" s="3">
        <v>88</v>
      </c>
      <c r="B89" s="3" t="s">
        <v>996</v>
      </c>
      <c r="C89" s="3" t="s">
        <v>343</v>
      </c>
      <c r="D89" s="3" t="s">
        <v>997</v>
      </c>
      <c r="E89" s="3" t="s">
        <v>765</v>
      </c>
      <c r="F89" s="3" t="s">
        <v>766</v>
      </c>
      <c r="G89" s="3" t="s">
        <v>502</v>
      </c>
      <c r="H89" s="3" t="s">
        <v>871</v>
      </c>
      <c r="I89" s="3" t="s">
        <v>875</v>
      </c>
      <c r="J89" s="3" t="s">
        <v>9</v>
      </c>
    </row>
    <row r="90" spans="1:10" s="3" customFormat="1" x14ac:dyDescent="0.25">
      <c r="A90" s="3">
        <v>89</v>
      </c>
      <c r="B90" s="3" t="s">
        <v>996</v>
      </c>
      <c r="C90" s="3" t="s">
        <v>343</v>
      </c>
      <c r="D90" s="3" t="s">
        <v>997</v>
      </c>
      <c r="E90" s="3" t="s">
        <v>765</v>
      </c>
      <c r="F90" s="3" t="s">
        <v>766</v>
      </c>
      <c r="G90" s="3" t="s">
        <v>502</v>
      </c>
      <c r="H90" s="3" t="s">
        <v>871</v>
      </c>
      <c r="I90" s="3" t="s">
        <v>876</v>
      </c>
      <c r="J90" s="3" t="s">
        <v>9</v>
      </c>
    </row>
    <row r="91" spans="1:10" s="3" customFormat="1" x14ac:dyDescent="0.25">
      <c r="A91" s="3">
        <v>90</v>
      </c>
      <c r="B91" s="3" t="s">
        <v>996</v>
      </c>
      <c r="C91" s="3" t="s">
        <v>350</v>
      </c>
      <c r="D91" s="3" t="s">
        <v>997</v>
      </c>
      <c r="E91" s="3" t="s">
        <v>771</v>
      </c>
      <c r="F91" s="3" t="s">
        <v>772</v>
      </c>
      <c r="G91" s="3" t="s">
        <v>502</v>
      </c>
      <c r="H91" s="3" t="s">
        <v>871</v>
      </c>
      <c r="I91" s="3" t="s">
        <v>872</v>
      </c>
      <c r="J91" s="3" t="s">
        <v>9</v>
      </c>
    </row>
    <row r="92" spans="1:10" s="3" customFormat="1" x14ac:dyDescent="0.25">
      <c r="A92" s="3">
        <v>91</v>
      </c>
      <c r="B92" s="3" t="s">
        <v>996</v>
      </c>
      <c r="C92" s="3" t="s">
        <v>777</v>
      </c>
      <c r="D92" s="3" t="s">
        <v>998</v>
      </c>
      <c r="E92" s="3" t="s">
        <v>502</v>
      </c>
      <c r="F92" s="3" t="s">
        <v>502</v>
      </c>
      <c r="G92" s="3" t="s">
        <v>357</v>
      </c>
      <c r="H92" s="3" t="s">
        <v>871</v>
      </c>
      <c r="I92" s="3" t="s">
        <v>880</v>
      </c>
      <c r="J92" s="3" t="s">
        <v>9</v>
      </c>
    </row>
    <row r="93" spans="1:10" s="3" customFormat="1" x14ac:dyDescent="0.25">
      <c r="A93" s="3">
        <v>92</v>
      </c>
      <c r="B93" s="3" t="s">
        <v>996</v>
      </c>
      <c r="C93" s="3" t="s">
        <v>777</v>
      </c>
      <c r="D93" s="3" t="s">
        <v>998</v>
      </c>
      <c r="E93" s="3" t="s">
        <v>502</v>
      </c>
      <c r="F93" s="3" t="s">
        <v>502</v>
      </c>
      <c r="G93" s="3" t="s">
        <v>357</v>
      </c>
      <c r="H93" s="3" t="s">
        <v>871</v>
      </c>
      <c r="I93" s="3" t="s">
        <v>881</v>
      </c>
      <c r="J93" s="3" t="s">
        <v>9</v>
      </c>
    </row>
    <row r="94" spans="1:10" s="3" customFormat="1" x14ac:dyDescent="0.25">
      <c r="A94" s="3">
        <v>93</v>
      </c>
      <c r="B94" s="3" t="s">
        <v>996</v>
      </c>
      <c r="C94" s="3" t="s">
        <v>781</v>
      </c>
      <c r="D94" s="3" t="s">
        <v>998</v>
      </c>
      <c r="E94" s="3" t="s">
        <v>502</v>
      </c>
      <c r="F94" s="3" t="s">
        <v>502</v>
      </c>
      <c r="G94" s="3" t="s">
        <v>363</v>
      </c>
      <c r="H94" s="3" t="s">
        <v>871</v>
      </c>
      <c r="I94" s="3" t="s">
        <v>878</v>
      </c>
      <c r="J94" s="3" t="s">
        <v>9</v>
      </c>
    </row>
    <row r="95" spans="1:10" s="3" customFormat="1" x14ac:dyDescent="0.25">
      <c r="A95" s="3">
        <v>94</v>
      </c>
      <c r="B95" s="3" t="s">
        <v>996</v>
      </c>
      <c r="C95" s="3" t="s">
        <v>846</v>
      </c>
      <c r="D95" s="3" t="s">
        <v>997</v>
      </c>
      <c r="E95" s="3" t="s">
        <v>502</v>
      </c>
      <c r="F95" s="3" t="s">
        <v>502</v>
      </c>
      <c r="G95" s="3" t="s">
        <v>502</v>
      </c>
      <c r="H95" s="3" t="s">
        <v>871</v>
      </c>
      <c r="I95" s="3" t="s">
        <v>883</v>
      </c>
      <c r="J95" s="3" t="s">
        <v>9</v>
      </c>
    </row>
    <row r="96" spans="1:10" s="3" customFormat="1" x14ac:dyDescent="0.25">
      <c r="A96" s="3">
        <v>95</v>
      </c>
      <c r="B96" s="3" t="s">
        <v>996</v>
      </c>
      <c r="C96" s="3" t="s">
        <v>846</v>
      </c>
      <c r="D96" s="3" t="s">
        <v>997</v>
      </c>
      <c r="E96" s="3" t="s">
        <v>502</v>
      </c>
      <c r="F96" s="3" t="s">
        <v>502</v>
      </c>
      <c r="G96" s="3" t="s">
        <v>502</v>
      </c>
      <c r="H96" s="3" t="s">
        <v>871</v>
      </c>
      <c r="I96" s="3" t="s">
        <v>883</v>
      </c>
      <c r="J96" s="3" t="s">
        <v>9</v>
      </c>
    </row>
    <row r="97" spans="1:10" s="3" customFormat="1" x14ac:dyDescent="0.25">
      <c r="A97" s="3">
        <v>96</v>
      </c>
      <c r="B97" s="3" t="s">
        <v>996</v>
      </c>
      <c r="C97" s="3" t="s">
        <v>119</v>
      </c>
      <c r="D97" s="3" t="s">
        <v>997</v>
      </c>
      <c r="E97" s="3" t="s">
        <v>502</v>
      </c>
      <c r="F97" s="3" t="s">
        <v>502</v>
      </c>
      <c r="G97" s="3" t="s">
        <v>502</v>
      </c>
      <c r="H97" s="3" t="s">
        <v>871</v>
      </c>
      <c r="I97" s="3" t="s">
        <v>885</v>
      </c>
      <c r="J97" s="3" t="s">
        <v>9</v>
      </c>
    </row>
    <row r="98" spans="1:10" s="3" customFormat="1" x14ac:dyDescent="0.25">
      <c r="A98" s="3">
        <v>97</v>
      </c>
      <c r="B98" s="3" t="s">
        <v>996</v>
      </c>
      <c r="C98" s="3" t="s">
        <v>369</v>
      </c>
      <c r="D98" s="3" t="s">
        <v>997</v>
      </c>
      <c r="E98" s="3" t="s">
        <v>785</v>
      </c>
      <c r="F98" s="3" t="s">
        <v>786</v>
      </c>
      <c r="G98" s="3" t="s">
        <v>502</v>
      </c>
      <c r="H98" s="3" t="s">
        <v>871</v>
      </c>
      <c r="I98" s="3" t="s">
        <v>874</v>
      </c>
      <c r="J98" s="3" t="s">
        <v>9</v>
      </c>
    </row>
    <row r="99" spans="1:10" s="3" customFormat="1" x14ac:dyDescent="0.25">
      <c r="A99" s="3">
        <v>98</v>
      </c>
      <c r="B99" s="3" t="s">
        <v>996</v>
      </c>
      <c r="C99" s="3" t="s">
        <v>369</v>
      </c>
      <c r="D99" s="3" t="s">
        <v>997</v>
      </c>
      <c r="E99" s="3" t="s">
        <v>785</v>
      </c>
      <c r="F99" s="3" t="s">
        <v>786</v>
      </c>
      <c r="G99" s="3" t="s">
        <v>502</v>
      </c>
      <c r="H99" s="3" t="s">
        <v>871</v>
      </c>
      <c r="I99" s="3" t="s">
        <v>875</v>
      </c>
      <c r="J99" s="3" t="s">
        <v>9</v>
      </c>
    </row>
    <row r="100" spans="1:10" s="3" customFormat="1" x14ac:dyDescent="0.25">
      <c r="A100" s="3">
        <v>99</v>
      </c>
      <c r="B100" s="3" t="s">
        <v>996</v>
      </c>
      <c r="C100" s="3" t="s">
        <v>369</v>
      </c>
      <c r="D100" s="3" t="s">
        <v>997</v>
      </c>
      <c r="E100" s="3" t="s">
        <v>785</v>
      </c>
      <c r="F100" s="3" t="s">
        <v>786</v>
      </c>
      <c r="G100" s="3" t="s">
        <v>502</v>
      </c>
      <c r="H100" s="3" t="s">
        <v>871</v>
      </c>
      <c r="I100" s="3" t="s">
        <v>876</v>
      </c>
      <c r="J100" s="3" t="s">
        <v>9</v>
      </c>
    </row>
    <row r="101" spans="1:10" s="3" customFormat="1" x14ac:dyDescent="0.25">
      <c r="A101" s="3">
        <v>100</v>
      </c>
      <c r="B101" s="3" t="s">
        <v>996</v>
      </c>
      <c r="C101" s="3" t="s">
        <v>376</v>
      </c>
      <c r="D101" s="3" t="s">
        <v>997</v>
      </c>
      <c r="E101" s="3" t="s">
        <v>791</v>
      </c>
      <c r="F101" s="3" t="s">
        <v>792</v>
      </c>
      <c r="G101" s="3" t="s">
        <v>502</v>
      </c>
      <c r="H101" s="3" t="s">
        <v>871</v>
      </c>
      <c r="I101" s="3" t="s">
        <v>872</v>
      </c>
      <c r="J101" s="3" t="s">
        <v>9</v>
      </c>
    </row>
    <row r="102" spans="1:10" s="3" customFormat="1" x14ac:dyDescent="0.25">
      <c r="A102" s="3">
        <v>101</v>
      </c>
      <c r="B102" s="3" t="s">
        <v>996</v>
      </c>
      <c r="C102" s="3" t="s">
        <v>797</v>
      </c>
      <c r="D102" s="3" t="s">
        <v>998</v>
      </c>
      <c r="E102" s="3" t="s">
        <v>502</v>
      </c>
      <c r="F102" s="3" t="s">
        <v>502</v>
      </c>
      <c r="G102" s="3" t="s">
        <v>383</v>
      </c>
      <c r="H102" s="3" t="s">
        <v>871</v>
      </c>
      <c r="I102" s="3" t="s">
        <v>880</v>
      </c>
      <c r="J102" s="3" t="s">
        <v>9</v>
      </c>
    </row>
    <row r="103" spans="1:10" s="3" customFormat="1" x14ac:dyDescent="0.25">
      <c r="A103" s="3">
        <v>102</v>
      </c>
      <c r="B103" s="3" t="s">
        <v>996</v>
      </c>
      <c r="C103" s="3" t="s">
        <v>797</v>
      </c>
      <c r="D103" s="3" t="s">
        <v>998</v>
      </c>
      <c r="E103" s="3" t="s">
        <v>502</v>
      </c>
      <c r="F103" s="3" t="s">
        <v>502</v>
      </c>
      <c r="G103" s="3" t="s">
        <v>383</v>
      </c>
      <c r="H103" s="3" t="s">
        <v>871</v>
      </c>
      <c r="I103" s="3" t="s">
        <v>881</v>
      </c>
      <c r="J103" s="3" t="s">
        <v>9</v>
      </c>
    </row>
    <row r="104" spans="1:10" s="3" customFormat="1" x14ac:dyDescent="0.25">
      <c r="A104" s="3">
        <v>103</v>
      </c>
      <c r="B104" s="3" t="s">
        <v>996</v>
      </c>
      <c r="C104" s="3" t="s">
        <v>801</v>
      </c>
      <c r="D104" s="3" t="s">
        <v>998</v>
      </c>
      <c r="E104" s="3" t="s">
        <v>502</v>
      </c>
      <c r="F104" s="3" t="s">
        <v>502</v>
      </c>
      <c r="G104" s="3" t="s">
        <v>389</v>
      </c>
      <c r="H104" s="3" t="s">
        <v>871</v>
      </c>
      <c r="I104" s="3" t="s">
        <v>878</v>
      </c>
      <c r="J104" s="3" t="s">
        <v>9</v>
      </c>
    </row>
    <row r="105" spans="1:10" s="3" customFormat="1" x14ac:dyDescent="0.25">
      <c r="A105" s="3">
        <v>104</v>
      </c>
      <c r="B105" s="3" t="s">
        <v>996</v>
      </c>
      <c r="C105" s="3" t="s">
        <v>851</v>
      </c>
      <c r="D105" s="3" t="s">
        <v>997</v>
      </c>
      <c r="E105" s="3" t="s">
        <v>502</v>
      </c>
      <c r="F105" s="3" t="s">
        <v>502</v>
      </c>
      <c r="G105" s="3" t="s">
        <v>502</v>
      </c>
      <c r="H105" s="3" t="s">
        <v>871</v>
      </c>
      <c r="I105" s="3" t="s">
        <v>883</v>
      </c>
      <c r="J105" s="3" t="s">
        <v>9</v>
      </c>
    </row>
    <row r="106" spans="1:10" s="3" customFormat="1" x14ac:dyDescent="0.25">
      <c r="A106" s="3">
        <v>105</v>
      </c>
      <c r="B106" s="3" t="s">
        <v>996</v>
      </c>
      <c r="C106" s="3" t="s">
        <v>851</v>
      </c>
      <c r="D106" s="3" t="s">
        <v>997</v>
      </c>
      <c r="E106" s="3" t="s">
        <v>502</v>
      </c>
      <c r="F106" s="3" t="s">
        <v>502</v>
      </c>
      <c r="G106" s="3" t="s">
        <v>502</v>
      </c>
      <c r="H106" s="3" t="s">
        <v>871</v>
      </c>
      <c r="I106" s="3" t="s">
        <v>883</v>
      </c>
      <c r="J106" s="3" t="s">
        <v>9</v>
      </c>
    </row>
    <row r="107" spans="1:10" s="3" customFormat="1" x14ac:dyDescent="0.25">
      <c r="A107" s="3">
        <v>106</v>
      </c>
      <c r="B107" s="3" t="s">
        <v>996</v>
      </c>
      <c r="C107" s="3" t="s">
        <v>123</v>
      </c>
      <c r="D107" s="3" t="s">
        <v>997</v>
      </c>
      <c r="E107" s="3" t="s">
        <v>502</v>
      </c>
      <c r="F107" s="3" t="s">
        <v>502</v>
      </c>
      <c r="G107" s="3" t="s">
        <v>502</v>
      </c>
      <c r="H107" s="3" t="s">
        <v>871</v>
      </c>
      <c r="I107" s="3" t="s">
        <v>885</v>
      </c>
      <c r="J107" s="3" t="s">
        <v>9</v>
      </c>
    </row>
  </sheetData>
  <autoFilter ref="A1:J107"/>
  <pageMargins left="0.7" right="0.7" top="0.75" bottom="0.75" header="0.3" footer="0.3"/>
  <pageSetup orientation="landscape" horizontalDpi="4294967295" verticalDpi="4294967295" scale="100" fitToWidth="1" fitToHeight="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20" customWidth="1"/>
  </cols>
  <sheetData>
    <row r="1" ht="28" customHeight="1" spans="1:4" s="22" customFormat="1" x14ac:dyDescent="0.25">
      <c r="A1" s="22" t="s">
        <v>940</v>
      </c>
      <c r="B1" s="22" t="s">
        <v>999</v>
      </c>
      <c r="C1" s="22" t="s">
        <v>1000</v>
      </c>
      <c r="D1" s="22" t="s">
        <v>1001</v>
      </c>
    </row>
  </sheetData>
  <autoFilter ref="A1:D1"/>
  <pageMargins left="0.7" right="0.7" top="0.75" bottom="0.75" header="0.3" footer="0.3"/>
  <pageSetup orientation="landscape" horizontalDpi="4294967295" verticalDpi="4294967295" scale="100" fitToWidth="1" fitToHeight="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7"/>
  <sheetViews>
    <sheetView workbookViewId="0" rightToLeft="1">
      <pane ySplit="1" topLeftCell="A2" activePane="bottomLeft" state="frozen"/>
      <selection pane="bottomLeft"/>
    </sheetView>
  </sheetViews>
  <sheetFormatPr defaultRowHeight="15" outlineLevelRow="0" outlineLevelCol="0" x14ac:dyDescent="55"/>
  <cols>
    <col min="1" max="1" width="23" customWidth="1"/>
    <col min="2" max="2" width="45" customWidth="1"/>
  </cols>
  <sheetData>
    <row r="1" ht="28" customHeight="1" spans="1:2" s="22" customFormat="1" x14ac:dyDescent="0.25">
      <c r="A1" s="22" t="s">
        <v>1002</v>
      </c>
      <c r="B1" s="22" t="s">
        <v>1003</v>
      </c>
    </row>
    <row r="2" spans="1:2" s="3" customFormat="1" x14ac:dyDescent="0.25">
      <c r="A2" s="3" t="s">
        <v>1004</v>
      </c>
      <c r="B2" s="3" t="s">
        <v>1005</v>
      </c>
    </row>
    <row r="3" spans="1:2" s="3" customFormat="1" x14ac:dyDescent="0.25">
      <c r="A3" s="3" t="s">
        <v>1006</v>
      </c>
      <c r="B3" s="3" t="s">
        <v>1007</v>
      </c>
    </row>
    <row r="4" spans="1:2" s="3" customFormat="1" x14ac:dyDescent="0.25">
      <c r="A4" s="3" t="s">
        <v>1008</v>
      </c>
      <c r="B4" s="3" t="s">
        <v>1009</v>
      </c>
    </row>
    <row r="5" spans="1:2" s="3" customFormat="1" x14ac:dyDescent="0.25">
      <c r="A5" s="3" t="s">
        <v>1010</v>
      </c>
      <c r="B5" s="4">
        <v>46294.61344212963</v>
      </c>
    </row>
    <row r="6" spans="1:2" s="3" customFormat="1" x14ac:dyDescent="0.25">
      <c r="A6" s="3" t="s">
        <v>1011</v>
      </c>
      <c r="B6" s="3" t="s">
        <v>1012</v>
      </c>
    </row>
    <row r="7" spans="1:2" s="3" customFormat="1" x14ac:dyDescent="0.25">
      <c r="A7" s="3" t="s">
        <v>1013</v>
      </c>
      <c r="B7" s="3" t="s">
        <v>1014</v>
      </c>
    </row>
  </sheetData>
  <autoFilter ref="A1:B7"/>
  <pageMargins left="0.7" right="0.7" top="0.75" bottom="0.75" header="0.3" footer="0.3"/>
  <pageSetup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Summary</vt:lpstr>
      <vt:lpstr>Matches</vt:lpstr>
      <vt:lpstr>Needs Review</vt:lpstr>
      <vt:lpstr>Unmatched</vt:lpstr>
      <vt:lpstr>Reconciliation Bridge</vt:lpstr>
      <vt:lpstr>Review Sign-off</vt:lpstr>
      <vt:lpstr>Diagnostics</vt:lpstr>
      <vt:lpstr>Match Evidence</vt:lpstr>
      <vt:lpstr>Review History</vt:lpstr>
      <vt:lpstr>Supplier transactions</vt:lpstr>
      <vt:lpstr>Ledger transactions</vt:lpstr>
      <vt:lpstr>Excluded Rows</vt:lpstr>
      <vt:lpstr>Run Settings</vt:lpstr>
      <vt:lpstr>Parsed Supplier Source</vt:lpstr>
      <vt:lpstr>Parsed Ledger Source</vt:lpstr>
      <vt:lpstr>PDF Row Origins</vt:lpstr>
      <vt:lpstr>Export Metadata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Tarasuf Local</dc:creator>
  <dc:title/>
  <dc:subject/>
  <dc:description/>
  <cp:keywords/>
  <cp:category/>
  <cp:lastModifiedBy>Unknown</cp:lastModifiedBy>
  <dcterms:created xsi:type="dcterms:W3CDTF">2026-09-29T14:43:21Z</dcterms:created>
  <dcterms:modified xsi:type="dcterms:W3CDTF">2026-09-29T14:43:21Z</dcterms:modified>
</cp:coreProperties>
</file>