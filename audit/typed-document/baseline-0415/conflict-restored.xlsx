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Numeric Cell Origins" state="hidden" r:id="rId13"/>
    <sheet sheetId="11" name="Supplier transactions" state="hidden" r:id="rId14"/>
    <sheet sheetId="12" name="Ledger transactions" state="hidden" r:id="rId15"/>
    <sheet sheetId="13" name="Excluded Rows" state="hidden" r:id="rId16"/>
    <sheet sheetId="14" name="Run Settings" state="hidden" r:id="rId17"/>
    <sheet sheetId="15" name="Parsed Supplier Source" state="hidden" r:id="rId18"/>
    <sheet sheetId="16" name="Parsed Ledger Source" state="hidden" r:id="rId19"/>
    <sheet sheetId="17" name="PDF Row Origins" state="hidden" r:id="rId20"/>
    <sheet sheetId="18" name="XLSX Header Provenance" state="hidden" r:id="rId21"/>
    <sheet sheetId="19" name="Export Metadata" state="hidden" r:id="rId22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<sst xmlns="http://schemas.openxmlformats.org/spreadsheetml/2006/main" count="836" uniqueCount="364">
  <si>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</si>
  <si>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</si>
  <si>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</si>
  <si>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</si>
  <si>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</si>
  <si>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</si>
  <si>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</si>
  <si>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buyer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</si>
  <si>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</si>
  <si>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</si>
  <si>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</si>
  <si>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</si>
  <si>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</si>
  <si>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</si>
  <si>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</si>
  <si>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</si>
  <si>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</si>
  <si>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</si>
  <si>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</si>
  <si>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</si>
  <si>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</si>
  <si>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</si>
  <si>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</si>
  <si>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</si>
  <si>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</si>
  <si>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</si>
  <si>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</si>
  <si>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</si>
  <si>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</si>
  <si>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</si>
  <si>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</si>
  <si>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</si>
  <si>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BALANCE_ARITHMETIC_FAILED</t>
  </si>
  <si>
    <t>Ledger Balance Arithmetic</t>
  </si>
  <si>
    <t>BALANCE_ROW_NOT_FOUND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</si>
  <si>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</si>
  <si>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</si>
  <si>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</si>
  <si>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</si>
  <si>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</si>
  <si>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</si>
  <si>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</si>
  <si>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</si>
  <si>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</si>
  <si>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</si>
  <si>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</si>
  <si>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</si>
  <si>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</si>
  <si>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</si>
  <si>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</si>
  <si>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</si>
  <si>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</si>
  <si>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</si>
  <si>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</si>
  <si>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</si>
  <si>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</si>
  <si>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</si>
  <si>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</si>
  <si>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</si>
  <si>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</si>
  <si>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</si>
  <si>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</si>
  <si>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</si>
  <si>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</si>
  <si>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</si>
  <si>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</si>
  <si>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</si>
  <si>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</si>
  <si>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</si>
  <si>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</si>
  <si>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</si>
  <si>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</si>
  <si>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</si>
  <si>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</si>
  <si>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</si>
  <si>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</si>
  <si>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</si>
  <si>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</si>
  <si>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CASE-456D0318</t>
  </si>
  <si>
    <t>1:1</t>
  </si>
  <si>
    <t>BANK-44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</si>
  <si>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</si>
  <si>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</si>
  <si>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</si>
  <si>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</si>
  <si>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</si>
  <si>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8</t>
  </si>
  <si>
    <t>ledger · CSV · row 3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</si>
  <si>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</si>
  <si>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</si>
  <si>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</si>
  <si>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</si>
  <si>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</si>
  <si>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</si>
  <si>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</si>
  <si>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</si>
  <si>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</si>
  <si>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</si>
  <si>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CASE-03A2C417</t>
  </si>
  <si>
    <t>AMOUNT_VARIANCE</t>
  </si>
  <si>
    <t>INV-932 · Statement:6</t>
  </si>
  <si>
    <t>INV-932 · CSV:2</t>
  </si>
  <si>
    <t>مقابل محدد بالمرجع INV-932 والتاريخ؛ فرق المبلغ -220.00 SAR. يلزم تفسير الفرق وإرفاق ما يدعمه من مستندات. لم تُعتمد مطابقة.</t>
  </si>
  <si>
    <t>Counterpart identified; the signed amounts differ.</t>
  </si>
  <si>
    <t>Compare the original invoice, postings and adjustments; document the reason for the variance.</t>
  </si>
  <si>
    <t>Pending</t>
  </si>
  <si>
    <t>Needs Review</t>
  </si>
  <si>
    <t>supplier · Statement · row 6</t>
  </si>
  <si>
    <t>ledger · CSV · row 2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</si>
  <si>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</si>
  <si>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</si>
  <si>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</si>
  <si>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</si>
  <si>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</si>
  <si>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</si>
  <si>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</si>
  <si>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</si>
  <si>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</si>
  <si>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</si>
  <si>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CASE-787B4F83</t>
  </si>
  <si>
    <t>supplier</t>
  </si>
  <si>
    <t>Invoice</t>
  </si>
  <si>
    <t>INV-934</t>
  </si>
  <si>
    <t>PO-99</t>
  </si>
  <si>
    <t>مستند المورد INV-934 بمبلغ 220.00 SAR: لا يوجد مقابل دفتر يستوفي قواعد المطابقة أو حالة مراجعة مثبتة.</t>
  </si>
  <si>
    <t>supplier · Statement · row 7</t>
  </si>
  <si>
    <t>CASE-E1EDC8C0</t>
  </si>
  <si>
    <t>Credit Note</t>
  </si>
  <si>
    <t>CN-3</t>
  </si>
  <si>
    <t>مستند المورد CN-3 بمبلغ -50.00 SAR: لا يوجد مقابل دفتر يستوفي قواعد المطابقة أو حالة مراجعة مثبتة.</t>
  </si>
  <si>
    <t>supplier · Statement · row 9</t>
  </si>
  <si>
    <t>CASE-F0B2B1A7</t>
  </si>
  <si>
    <t>ledger</t>
  </si>
  <si>
    <t>مستند الدفتر CN-3 بمبلغ -50.00 SAR: لا يوجد مقابل مورد يستوفي قواعد المطابقة أو حالة مراجعة مثبتة.</t>
  </si>
  <si>
    <t>ledger · CSV · row 4</t>
  </si>
  <si>
    <t>Adjustment From Supplier to Ledger</t>
  </si>
  <si>
    <t>Explanation</t>
  </si>
  <si>
    <t>Review Status</t>
  </si>
  <si>
    <t>Supporting Source</t>
  </si>
  <si>
    <t>2 source rows · CASE-03A2C417</t>
  </si>
  <si>
    <t>SUPPLIER_ONLY</t>
  </si>
  <si>
    <t>Unmatched</t>
  </si>
  <si>
    <t>1 source rows · CASE-787B4F83</t>
  </si>
  <si>
    <t>1 source rows · CASE-E1EDC8C0</t>
  </si>
  <si>
    <t>LEDGER_ONLY</t>
  </si>
  <si>
    <t>1 source rows · CASE-F0B2B1A7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</si>
  <si>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</si>
  <si>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</si>
  <si>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</si>
  <si>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</si>
  <si>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</si>
  <si>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</si>
  <si>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</si>
  <si>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</si>
  <si>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</si>
  <si>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</si>
  <si>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</si>
  <si>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</si>
  <si>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</si>
  <si>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</si>
  <si>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</si>
  <si>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تتحقق معادلة الرصيد. راجع المصدر وإشارات المبالغ والفترة.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</si>
  <si>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</si>
  <si>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</si>
  <si>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</si>
  <si>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</si>
  <si>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</si>
  <si>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supplier:1:8 | ledger:0:3</t>
  </si>
  <si>
    <t>supplier:1:6 | ledger:0:2</t>
  </si>
  <si>
    <t>NO_REFERENCE_CANDIDATE</t>
  </si>
  <si>
    <t>لا يوجد مرجع مقابل في الملف المقدم. هذا لا يثبت غياب المستند عن النظام المحاسبي.</t>
  </si>
  <si>
    <t>supplier:1:7</t>
  </si>
  <si>
    <t>NO_SUPPLIER_COUNTERPART</t>
  </si>
  <si>
    <t>لم يُعثر في الملفات المقدمة على حركة مورد تصلح مقابلًا لهذه الحركة.</t>
  </si>
  <si>
    <t>ledger:0:4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</si>
  <si>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</si>
  <si>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</si>
  <si>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</si>
  <si>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</si>
  <si>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</si>
  <si>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</si>
  <si>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</si>
  <si>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</si>
  <si>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</si>
  <si>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</si>
  <si>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</si>
  <si>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</si>
  <si>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</si>
  <si>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supplier:1:8</t>
  </si>
  <si>
    <t>Statement</t>
  </si>
  <si>
    <t>PAY-44</t>
  </si>
  <si>
    <t>ledger:0:3</t>
  </si>
  <si>
    <t>EXACT_REFERENCE_AMOUNT_VARIANCE_V1</t>
  </si>
  <si>
    <t>supplier:1:6</t>
  </si>
  <si>
    <t>INV-932</t>
  </si>
  <si>
    <t>PO-41</t>
  </si>
  <si>
    <t>ledger:0:2</t>
  </si>
  <si>
    <t>NO_VIABLE_LEDGER_COUNTERPART</t>
  </si>
  <si>
    <t>supplier:1:9</t>
  </si>
  <si>
    <t>NO_VIABLE_SUPPLIER_COUNTERPART</t>
  </si>
  <si>
    <t>Timestamp</t>
  </si>
  <si>
    <t>Action</t>
  </si>
  <si>
    <t>Source Row IDs</t>
  </si>
  <si>
    <t>Row:Column</t>
  </si>
  <si>
    <t>Original Numeric Value</t>
  </si>
  <si>
    <t>Original Excel Format</t>
  </si>
  <si>
    <t>Original Formula (text; not a trusted cached amount)</t>
  </si>
  <si>
    <t>5:5</t>
  </si>
  <si>
    <t>6:3</t>
  </si>
  <si>
    <t>6:5</t>
  </si>
  <si>
    <t>7:3</t>
  </si>
  <si>
    <t>7:5</t>
  </si>
  <si>
    <t>8:4</t>
  </si>
  <si>
    <t>8:5</t>
  </si>
  <si>
    <t>9:4</t>
  </si>
  <si>
    <t>9:5</t>
  </si>
  <si>
    <t>10:5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</si>
  <si>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</si>
  <si>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</si>
  <si>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</si>
  <si>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</si>
  <si>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</si>
  <si>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</si>
  <si>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</si>
  <si>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</si>
  <si>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</si>
  <si>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</si>
  <si>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INV932</t>
  </si>
  <si>
    <t xml:space="preserve">780 | </t>
  </si>
  <si>
    <t>INV934</t>
  </si>
  <si>
    <t xml:space="preserve">220 | </t>
  </si>
  <si>
    <t>BANK44</t>
  </si>
  <si>
    <t xml:space="preserve"> | 350</t>
  </si>
  <si>
    <t>CN3</t>
  </si>
  <si>
    <t xml:space="preserve"> | 50</t>
  </si>
  <si>
    <t>1000.00</t>
  </si>
  <si>
    <t>-350.00</t>
  </si>
  <si>
    <t>-50.00</t>
  </si>
  <si>
    <t>الطرف</t>
  </si>
  <si>
    <t>سبب الاستبعاد</t>
  </si>
  <si>
    <t>المحتوى</t>
  </si>
  <si>
    <t>المورد</t>
  </si>
  <si>
    <t>قبل صف العناوين</t>
  </si>
  <si>
    <t>["Synthetic typed supplier statement","Synthetic typed supplier statement","Synthetic typed supplier statement","Synthetic typed supplier statement","Synthetic typed supplier statement","Synthetic typed supplier statement","Synthetic typed supplier statement","Synthetic typed supplier statement","Synthetic typed supplier statement"]</t>
  </si>
  <si>
    <t>["AP-714 · SAR · 2026-07-01 to 2026-07-31","AP-714 · SAR · 2026-07-01 to 2026-07-31","AP-714 · SAR · 2026-07-01 to 2026-07-31","AP-714 · SAR · 2026-07-01 to 2026-07-31","AP-714 · SAR · 2026-07-01 to 2026-07-31","AP-714 · SAR · 2026-07-01 to 2026-07-31","AP-714 · SAR · 2026-07-01 to 2026-07-31","AP-714 · SAR · 2026-07-01 to 2026-07-31","AP-714 · SAR · 2026-07-01 to 2026-07-31"]</t>
  </si>
  <si>
    <t>["Date","Document No","Movement","Movement","Running balance","Type","PO","Bank Reference","Line ID"]</t>
  </si>
  <si>
    <t>صف العناوين المؤكد</t>
  </si>
  <si>
    <t>["Date","Document No","Debit","Credit","Running balance","Type","PO","Bank Reference","Line ID"]</t>
  </si>
  <si>
    <t>صف إجمالي أو رصيد — استُبعد تلقائيًا («Opening balance»)</t>
  </si>
  <si>
    <t>["Opening balance","","","","1000","","","",""]</t>
  </si>
  <si>
    <t>صف إجمالي أو رصيد — استُبعد تلقائيًا («Closing balance»)</t>
  </si>
  <si>
    <t>["Closing balance","","","","1600","","","",""]</t>
  </si>
  <si>
    <t>الدفتر</t>
  </si>
  <si>
    <t>["Date","Document No","Type","Amount","PO","Bank Reference"]</t>
  </si>
  <si>
    <t>الحقل</t>
  </si>
  <si>
    <t>القيمة</t>
  </si>
  <si>
    <t>Scope</t>
  </si>
  <si>
    <t>{"supplier":"Synthetic supplier","entity":"Synthetic buyer","account":"AP-714","currency":"SAR","decimals":2,"cutoff":"2026-07-31","dateWindow":3,"confirmed":true,"coverageConfirmed":false}</t>
  </si>
  <si>
    <t>Supplier mapping</t>
  </si>
  <si>
    <t>{"sheet":1,"header":3,"date":0,"reference":1,"description":-1,"amount":-1,"debit":2,"credit":3,"currencyColumn":-1,"mode":"split","multiplier":1,"numberFormat":"dot","dateFormat":"ymd","reportType":"transactions","opening":"","closing":"","periodStart":"","excluded":{}}</t>
  </si>
  <si>
    <t>Ledger mapping</t>
  </si>
  <si>
    <t>{"sheet":0,"header":0,"date":0,"reference":1,"description":-1,"amount":3,"debit":-1,"credit":-1,"currencyColumn":-1,"mode":"signed","multiplier":1,"numberFormat":"dot","dateFormat":"ymd","reportType":"transactions","opening":"","closing":"","periodStart":"","excluded":{}}</t>
  </si>
  <si>
    <t>Supplier PDF layout</t>
  </si>
  <si>
    <t>null</t>
  </si>
  <si>
    <t>Ledger PDF layout</t>
  </si>
  <si>
    <t>Supplier metadata</t>
  </si>
  <si>
    <t>{"openingBalance":100000,"closingBalance":160000,"periodStart":"","periodEnd":"","supplierStatementAccount":"","supplierCode":"","apControlAccount":"","supplierName":"","entityName":"","currency":"","balanceRowReference":{"opening":{"sheet":"Statement","row":5,"column":5,"originalValue":"1000","method":"literal"},"closing":{"sheet":"Statement","row":10,"column":5,"originalValue":"1600","method":"literal"}},"evidence":[{"sheet":"Statement","row":5,"column":5,"originalValue":"1000","method":"literal","field":"openingBalance","value":100000},{"sheet":"Statement","row":10,"column":5,"originalValue":"1600","method":"literal","field":"closingBalance","value":160000}],"warnings":[]}</t>
  </si>
  <si>
    <t>Ledger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</si>
  <si>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</si>
  <si>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Rejected pairs</t>
  </si>
  <si>
    <t>[]</t>
  </si>
  <si>
    <t>Ambiguous source rows</t>
  </si>
  <si>
    <t>Candidate links (not approvals)</t>
  </si>
  <si>
    <t>{"supplier:1:7":[],"supplier:1:9":["ledger:0:4"]}</t>
  </si>
  <si>
    <t>Supplier filename</t>
  </si>
  <si>
    <t>supplier-typed-conflict.xlsx</t>
  </si>
  <si>
    <t>Ledger filename</t>
  </si>
  <si>
    <t>ledger-typed.csv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</si>
  <si>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</si>
  <si>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</si>
  <si>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</si>
  <si>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</si>
  <si>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</si>
  <si>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</si>
  <si>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</si>
  <si>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</si>
  <si>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</si>
  <si>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</si>
  <si>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</si>
  <si>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عمود 8</t>
  </si>
  <si>
    <t>عمود 9</t>
  </si>
  <si>
    <t>Synthetic typed supplier statement</t>
  </si>
  <si>
    <t>AP-714 · SAR · 2026-07-01 to 2026-07-31</t>
  </si>
  <si>
    <t>Document No</t>
  </si>
  <si>
    <t>Movement</t>
  </si>
  <si>
    <t>Running balance</t>
  </si>
  <si>
    <t>Type</t>
  </si>
  <si>
    <t>PO</t>
  </si>
  <si>
    <t>Line ID</t>
  </si>
  <si>
    <t>Debit</t>
  </si>
  <si>
    <t>Credit</t>
  </si>
  <si>
    <t>Opening balance</t>
  </si>
  <si>
    <t>1000</t>
  </si>
  <si>
    <t>2026-07-15</t>
  </si>
  <si>
    <t>780</t>
  </si>
  <si>
    <t>1780</t>
  </si>
  <si>
    <t>LINE-1</t>
  </si>
  <si>
    <t>220</t>
  </si>
  <si>
    <t>2000</t>
  </si>
  <si>
    <t>LINE-2</t>
  </si>
  <si>
    <t>2026-07-16</t>
  </si>
  <si>
    <t>350</t>
  </si>
  <si>
    <t>1650</t>
  </si>
  <si>
    <t>Payment</t>
  </si>
  <si>
    <t>LINE-3</t>
  </si>
  <si>
    <t>2026-07-17</t>
  </si>
  <si>
    <t>50</t>
  </si>
  <si>
    <t>1600</t>
  </si>
  <si>
    <t>LINE-4</t>
  </si>
  <si>
    <t>Closing balance</t>
  </si>
  <si>
    <t>صف الاستخراج</t>
  </si>
  <si>
    <t>صفحة PDF</t>
  </si>
  <si>
    <t>المحتوى المستخرج</t>
  </si>
  <si>
    <t>Source SHA-256</t>
  </si>
  <si>
    <t>Sheet</t>
  </si>
  <si>
    <t>Header start row</t>
  </si>
  <si>
    <t>Header end row</t>
  </si>
  <si>
    <t>Output column</t>
  </si>
  <si>
    <t>Origin row</t>
  </si>
  <si>
    <t>Origin column</t>
  </si>
  <si>
    <t>Original label</t>
  </si>
  <si>
    <t>Vertical merge range</t>
  </si>
  <si>
    <t>Parent label</t>
  </si>
  <si>
    <t>Parent merge range</t>
  </si>
  <si>
    <t>Derived label</t>
  </si>
  <si>
    <t>Mapped fields</t>
  </si>
  <si>
    <t>Reading basis</t>
  </si>
  <si>
    <t>0553898e0e0789cb46d1e1a8ead04a5d3c1e454783a74428d3a4d4d8dbba7539</t>
  </si>
  <si>
    <t>A3:A4</t>
  </si>
  <si>
    <t>date</t>
  </si>
  <si>
    <t>NATIVE_XLSX_TWO_ROW_MOVEMENT_V1</t>
  </si>
  <si>
    <t>Automatic source rule</t>
  </si>
  <si>
    <t>B3:B4</t>
  </si>
  <si>
    <t>reference</t>
  </si>
  <si>
    <t>C3:D3</t>
  </si>
  <si>
    <t>debit</t>
  </si>
  <si>
    <t>credit</t>
  </si>
  <si>
    <t>E3:E4</t>
  </si>
  <si>
    <t>F3:F4</t>
  </si>
  <si>
    <t>G3:G4</t>
  </si>
  <si>
    <t>H3:H4</t>
  </si>
  <si>
    <t>I3:I4</t>
  </si>
  <si>
    <t>Field</t>
  </si>
  <si>
    <t>Value</t>
  </si>
  <si>
    <t>Engine version</t>
  </si>
  <si>
    <t>0.3.22-experimental</t>
  </si>
  <si>
    <t>Supplier SHA-256</t>
  </si>
  <si>
    <t>Ledger SHA-256</t>
  </si>
  <si>
    <t>49bf9b5c52057b22618754db26654671bd9bb7ca27d8b40daf5414f40f6c3895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</si>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</sst>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FFF0CC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0" fontId="0" fillId="4" borderId="0" xfId="0" applyFill="1"/>
    <xf numFmtId="0" fontId="0" fillId="4" borderId="0" xfId="0" applyFill="1" applyAlignment="1">
      <alignment vertical="top" wrapText="1" readingOrder="1"/>
    </xf>
    <xf numFmtId="4" fontId="0" fillId="4" borderId="0" xfId="0" applyNumberForma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0" fontId="0" fillId="5" borderId="0" xfId="0" applyFill="1"/>
    <xf numFmtId="0" fontId="0" fillId="5" borderId="0" xfId="0" applyFill="1" applyAlignment="1">
      <alignment vertical="top" wrapText="1" readingOrder="1"/>
    </xf>
    <xf numFmtId="164" fontId="0" fillId="5" borderId="0" xfId="0" applyNumberFormat="1" applyFill="1" applyAlignment="1">
      <alignment vertical="top" wrapText="1" readingOrder="1"/>
    </xf>
    <xf numFmtId="4" fontId="0" fillId="5" borderId="0" xfId="0" applyNumberFormat="1" applyFill="1" applyAlignment="1">
      <alignment vertical="top" wrapText="1" readingOrder="1"/>
    </xf>
    <xf numFmtId="0" fontId="3" fillId="5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6" borderId="0" xfId="0" applyFont="1" applyFill="1"/>
    <xf numFmtId="4" fontId="1" fillId="6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9" TargetMode="External"/><Relationship Id="rId2" Type="http://schemas.openxmlformats.org/officeDocument/2006/relationships/hyperlink" Target="#&apos;Parsed Ledger Source&apos;!A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7" TargetMode="External"/><Relationship Id="rId2" Type="http://schemas.openxmlformats.org/officeDocument/2006/relationships/hyperlink" Target="#&apos;Parsed Ledger Source&apos;!A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8" TargetMode="External"/><Relationship Id="rId2" Type="http://schemas.openxmlformats.org/officeDocument/2006/relationships/hyperlink" Target="#&apos;Parsed Supplier Source&apos;!A10" TargetMode="External"/><Relationship Id="rId3" Type="http://schemas.openxmlformats.org/officeDocument/2006/relationships/hyperlink" Target="#&apos;Parsed Ledger Source&apos;!A5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2" TargetMode="External"/><Relationship Id="rId2" Type="http://schemas.openxmlformats.org/officeDocument/2006/relationships/hyperlink" Target="#&apos;Unmatched&apos;!A2" TargetMode="External"/><Relationship Id="rId3" Type="http://schemas.openxmlformats.org/officeDocument/2006/relationships/hyperlink" Target="#&apos;Unmatched&apos;!A3" TargetMode="External"/><Relationship Id="rId4" Type="http://schemas.openxmlformats.org/officeDocument/2006/relationships/hyperlink" Target="#&apos;Unmatched&apos;!A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9" TargetMode="External"/><Relationship Id="rId2" Type="http://schemas.openxmlformats.org/officeDocument/2006/relationships/hyperlink" Target="#&apos;Parsed Ledger Source&apos;!A4" TargetMode="External"/><Relationship Id="rId3" Type="http://schemas.openxmlformats.org/officeDocument/2006/relationships/hyperlink" Target="#&apos;Parsed Supplier Source&apos;!A7" TargetMode="External"/><Relationship Id="rId4" Type="http://schemas.openxmlformats.org/officeDocument/2006/relationships/hyperlink" Target="#&apos;Parsed Ledger Source&apos;!A3" TargetMode="External"/><Relationship Id="rId5" Type="http://schemas.openxmlformats.org/officeDocument/2006/relationships/hyperlink" Target="#&apos;Parsed Supplier Source&apos;!A8" TargetMode="External"/><Relationship Id="rId6" Type="http://schemas.openxmlformats.org/officeDocument/2006/relationships/hyperlink" Target="#&apos;Parsed Supplier Source&apos;!A10" TargetMode="External"/><Relationship Id="rId7" Type="http://schemas.openxmlformats.org/officeDocument/2006/relationships/hyperlink" Target="#&apos;Parsed Ledger Source&apos;!A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>
        <v>1000</v>
      </c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>
        <v>1600</v>
      </c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34</v>
      </c>
    </row>
    <row r="25" ht="30" customHeight="1" spans="1:2" s="3" customFormat="1" x14ac:dyDescent="0.25">
      <c r="A25" s="3" t="s">
        <v>35</v>
      </c>
      <c r="B25" s="3" t="s">
        <v>36</v>
      </c>
    </row>
    <row r="26" ht="30" customHeight="1" spans="1:2" s="3" customFormat="1" x14ac:dyDescent="0.25">
      <c r="A26" s="3" t="s">
        <v>37</v>
      </c>
      <c r="B26" s="3" t="s">
        <v>36</v>
      </c>
    </row>
    <row r="27" ht="30" customHeight="1" spans="1:2" s="3" customFormat="1" x14ac:dyDescent="0.25">
      <c r="A27" s="3" t="s">
        <v>38</v>
      </c>
      <c r="B27" s="3" t="s">
        <v>39</v>
      </c>
    </row>
    <row r="28" ht="30" customHeight="1" spans="1:2" s="3" customFormat="1" x14ac:dyDescent="0.25">
      <c r="A28" s="3" t="s">
        <v>40</v>
      </c>
      <c r="B28" s="6">
        <f>COUNTIF('Matches'!Q2:Q2,"Auto")</f>
        <v>1</v>
      </c>
    </row>
    <row r="29" ht="30" customHeight="1" spans="1:2" s="3" customFormat="1" x14ac:dyDescent="0.25">
      <c r="A29" s="3" t="s">
        <v>41</v>
      </c>
      <c r="B29" s="6">
        <f>SUM('Matches'!O2:P2)</f>
        <v>2</v>
      </c>
    </row>
    <row r="30" ht="30" customHeight="1" spans="1:2" s="3" customFormat="1" x14ac:dyDescent="0.25">
      <c r="A30" s="3" t="s">
        <v>42</v>
      </c>
      <c r="B30" s="6">
        <f>COUNTIF('Needs Review'!M2:M2,"Needs Review")</f>
        <v>1</v>
      </c>
    </row>
    <row r="31" ht="30" customHeight="1" spans="1:2" s="3" customFormat="1" x14ac:dyDescent="0.25">
      <c r="A31" s="3" t="s">
        <v>43</v>
      </c>
      <c r="B31" s="6">
        <f>SUMIF('Needs Review'!M2:M2,"Needs Review",'Needs Review'!N2:N2)+SUMIF('Needs Review'!M2:M2,"Needs Review",'Needs Review'!O2:O2)</f>
        <v>2</v>
      </c>
    </row>
    <row r="32" ht="30" customHeight="1" spans="1:2" s="3" customFormat="1" x14ac:dyDescent="0.25">
      <c r="A32" s="3" t="s">
        <v>44</v>
      </c>
      <c r="B32" s="6">
        <f>COUNTA('Unmatched'!A2:A4)</f>
        <v>3</v>
      </c>
    </row>
    <row r="33" ht="30" customHeight="1" spans="1:2" s="3" customFormat="1" x14ac:dyDescent="0.25">
      <c r="A33" s="3" t="s">
        <v>45</v>
      </c>
      <c r="B33" s="6">
        <f>SUM('Unmatched'!K2:K4)</f>
        <v>3</v>
      </c>
    </row>
    <row r="34" ht="30" customHeight="1" spans="1:2" s="3" customFormat="1" x14ac:dyDescent="0.25">
      <c r="A34" s="3" t="s">
        <v>46</v>
      </c>
      <c r="B34" s="3">
        <f>COUNTIF('Matches'!Q2:Q2,"Manual")</f>
        <v>0</v>
      </c>
    </row>
    <row r="35" ht="30" customHeight="1" spans="1:2" s="3" customFormat="1" x14ac:dyDescent="0.25">
      <c r="A35" s="3" t="s">
        <v>47</v>
      </c>
      <c r="B35" s="3">
        <f>COUNTIF('Needs Review'!M2:M2,"Rejected")</f>
        <v>0</v>
      </c>
    </row>
    <row r="36" ht="30" customHeight="1" spans="1:2" s="3" customFormat="1" x14ac:dyDescent="0.25">
      <c r="A36" s="3" t="s">
        <v>48</v>
      </c>
      <c r="B36" s="5">
        <f>'Reconciliation Bridge'!E7</f>
        <v>0</v>
      </c>
    </row>
    <row r="37" ht="30" customHeight="1" spans="1:2" s="3" customFormat="1" x14ac:dyDescent="0.25">
      <c r="A37" s="3" t="s">
        <v>49</v>
      </c>
      <c r="B37" s="5"/>
    </row>
    <row r="38" ht="30" customHeight="1" spans="1:2" s="3" customFormat="1" x14ac:dyDescent="0.25">
      <c r="A38" s="3" t="s">
        <v>50</v>
      </c>
      <c r="B38" s="5"/>
    </row>
    <row r="39" ht="30" customHeight="1" spans="1:2" s="3" customFormat="1" x14ac:dyDescent="0.25">
      <c r="A39" s="3" t="s">
        <v>51</v>
      </c>
      <c r="B39" s="3" t="s">
        <v>52</v>
      </c>
    </row>
    <row r="40" ht="30" customHeight="1" spans="1:2" s="3" customFormat="1" x14ac:dyDescent="0.25">
      <c r="A40" s="3" t="s">
        <v>53</v>
      </c>
      <c r="B40" s="6" t="s">
        <v>54</v>
      </c>
    </row>
    <row r="41" ht="30" customHeight="1" spans="1:2" s="3" customFormat="1" x14ac:dyDescent="0.25">
      <c r="A41" s="3" t="s">
        <v>55</v>
      </c>
      <c r="B41" s="3" t="s">
        <v>56</v>
      </c>
    </row>
    <row r="42" ht="30" customHeight="1" spans="1:2" s="3" customFormat="1" x14ac:dyDescent="0.25">
      <c r="A42" s="3" t="s">
        <v>57</v>
      </c>
      <c r="B42" s="3" t="s">
        <v>58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59</v>
      </c>
      <c r="B1" s="2" t="s">
        <v>60</v>
      </c>
      <c r="C1" s="2" t="s">
        <v>61</v>
      </c>
      <c r="D1" s="2" t="s">
        <v>62</v>
      </c>
      <c r="E1" s="8" t="s">
        <v>63</v>
      </c>
      <c r="F1" s="2" t="s">
        <v>64</v>
      </c>
      <c r="G1" s="2" t="s">
        <v>65</v>
      </c>
      <c r="H1" s="8" t="s">
        <v>66</v>
      </c>
      <c r="I1" s="2" t="s">
        <v>67</v>
      </c>
      <c r="J1" s="2" t="s">
        <v>68</v>
      </c>
      <c r="K1" s="2" t="s">
        <v>69</v>
      </c>
      <c r="L1" s="2" t="s">
        <v>70</v>
      </c>
      <c r="M1" s="2" t="s">
        <v>71</v>
      </c>
      <c r="N1" s="2" t="s">
        <v>72</v>
      </c>
      <c r="O1" s="2" t="s">
        <v>73</v>
      </c>
      <c r="P1" s="2" t="s">
        <v>74</v>
      </c>
      <c r="Q1" s="2" t="s">
        <v>75</v>
      </c>
      <c r="R1" s="2" t="s">
        <v>76</v>
      </c>
      <c r="S1" s="2" t="s">
        <v>77</v>
      </c>
    </row>
    <row r="2" ht="42" customHeight="1" spans="1:19" s="9" customFormat="1" x14ac:dyDescent="0.25">
      <c r="A2" s="10" t="s">
        <v>78</v>
      </c>
      <c r="B2" s="10" t="s">
        <v>79</v>
      </c>
      <c r="C2" s="11">
        <v>46219</v>
      </c>
      <c r="D2" s="10" t="s">
        <v>80</v>
      </c>
      <c r="E2" s="12">
        <v>-350</v>
      </c>
      <c r="F2" s="11">
        <v>46219</v>
      </c>
      <c r="G2" s="10" t="s">
        <v>80</v>
      </c>
      <c r="H2" s="12">
        <v>-350</v>
      </c>
      <c r="I2" s="10" t="s">
        <v>81</v>
      </c>
      <c r="J2" s="10">
        <v>0</v>
      </c>
      <c r="K2" s="10" t="s">
        <v>82</v>
      </c>
      <c r="L2" s="10" t="s">
        <v>83</v>
      </c>
      <c r="M2" s="10" t="s">
        <v>84</v>
      </c>
      <c r="N2" s="9"/>
      <c r="O2" s="10">
        <v>1</v>
      </c>
      <c r="P2" s="10">
        <v>1</v>
      </c>
      <c r="Q2" s="10" t="s">
        <v>85</v>
      </c>
      <c r="R2" s="13" t="s">
        <v>86</v>
      </c>
      <c r="S2" s="13" t="s">
        <v>87</v>
      </c>
    </row>
  </sheetData>
  <autoFilter ref="A1:S2"/>
  <hyperlinks>
    <hyperlink ref="R2" r:id="rId1" location="#'Parsed Supplier Source'!A9"/>
    <hyperlink ref="S2" r:id="rId2" location="#'Parsed Ledger Source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  <col min="16" max="17" width="30" customWidth="1"/>
  </cols>
  <sheetData>
    <row r="1" ht="32" customHeight="1" spans="1:17" s="1" customFormat="1" x14ac:dyDescent="0.25">
      <c r="A1" s="2" t="s">
        <v>59</v>
      </c>
      <c r="B1" s="2" t="s">
        <v>88</v>
      </c>
      <c r="C1" s="2" t="s">
        <v>89</v>
      </c>
      <c r="D1" s="2" t="s">
        <v>90</v>
      </c>
      <c r="E1" s="8" t="s">
        <v>91</v>
      </c>
      <c r="F1" s="8" t="s">
        <v>92</v>
      </c>
      <c r="G1" s="8" t="s">
        <v>93</v>
      </c>
      <c r="H1" s="2" t="s">
        <v>70</v>
      </c>
      <c r="I1" s="2" t="s">
        <v>94</v>
      </c>
      <c r="J1" s="2" t="s">
        <v>95</v>
      </c>
      <c r="K1" s="2" t="s">
        <v>96</v>
      </c>
      <c r="L1" s="2" t="s">
        <v>97</v>
      </c>
      <c r="M1" s="2" t="s">
        <v>71</v>
      </c>
      <c r="N1" s="2" t="s">
        <v>73</v>
      </c>
      <c r="O1" s="2" t="s">
        <v>74</v>
      </c>
      <c r="P1" s="2" t="s">
        <v>76</v>
      </c>
      <c r="Q1" s="2" t="s">
        <v>77</v>
      </c>
    </row>
    <row r="2" ht="42" customHeight="1" spans="1:17" s="14" customFormat="1" x14ac:dyDescent="0.25">
      <c r="A2" s="15" t="s">
        <v>98</v>
      </c>
      <c r="B2" s="15" t="s">
        <v>99</v>
      </c>
      <c r="C2" s="15" t="s">
        <v>100</v>
      </c>
      <c r="D2" s="15" t="s">
        <v>101</v>
      </c>
      <c r="E2" s="16">
        <v>780</v>
      </c>
      <c r="F2" s="16">
        <v>1000</v>
      </c>
      <c r="G2" s="16">
        <v>-220</v>
      </c>
      <c r="H2" s="15" t="s">
        <v>102</v>
      </c>
      <c r="I2" s="15" t="s">
        <v>103</v>
      </c>
      <c r="J2" s="15" t="s">
        <v>104</v>
      </c>
      <c r="K2" s="15" t="s">
        <v>105</v>
      </c>
      <c r="L2" s="14"/>
      <c r="M2" s="15" t="s">
        <v>106</v>
      </c>
      <c r="N2" s="15">
        <v>1</v>
      </c>
      <c r="O2" s="15">
        <v>1</v>
      </c>
      <c r="P2" s="17" t="s">
        <v>107</v>
      </c>
      <c r="Q2" s="17" t="s">
        <v>108</v>
      </c>
    </row>
  </sheetData>
  <autoFilter ref="A1:Q2"/>
  <hyperlinks>
    <hyperlink ref="P2" r:id="rId1" location="#'Parsed Supplier Source'!A7"/>
    <hyperlink ref="Q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59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8" t="s">
        <v>115</v>
      </c>
      <c r="I1" s="2" t="s">
        <v>116</v>
      </c>
      <c r="J1" s="2" t="s">
        <v>117</v>
      </c>
      <c r="K1" s="2" t="s">
        <v>118</v>
      </c>
    </row>
    <row r="2" ht="42" customHeight="1" spans="1:11" s="18" customFormat="1" x14ac:dyDescent="0.25">
      <c r="A2" s="19" t="s">
        <v>119</v>
      </c>
      <c r="B2" s="19" t="s">
        <v>120</v>
      </c>
      <c r="C2" s="20">
        <v>46218</v>
      </c>
      <c r="D2" s="19" t="s">
        <v>121</v>
      </c>
      <c r="E2" s="19" t="s">
        <v>122</v>
      </c>
      <c r="F2" s="19" t="s">
        <v>123</v>
      </c>
      <c r="G2" s="18"/>
      <c r="H2" s="21">
        <v>220</v>
      </c>
      <c r="I2" s="19" t="s">
        <v>124</v>
      </c>
      <c r="J2" s="22" t="s">
        <v>125</v>
      </c>
      <c r="K2" s="19">
        <v>1</v>
      </c>
    </row>
    <row r="3" ht="42" customHeight="1" spans="1:11" s="18" customFormat="1" x14ac:dyDescent="0.25">
      <c r="A3" s="19" t="s">
        <v>126</v>
      </c>
      <c r="B3" s="19" t="s">
        <v>120</v>
      </c>
      <c r="C3" s="20">
        <v>46220</v>
      </c>
      <c r="D3" s="19" t="s">
        <v>127</v>
      </c>
      <c r="E3" s="19" t="s">
        <v>128</v>
      </c>
      <c r="F3" s="18"/>
      <c r="G3" s="18"/>
      <c r="H3" s="21">
        <v>-50</v>
      </c>
      <c r="I3" s="19" t="s">
        <v>129</v>
      </c>
      <c r="J3" s="22" t="s">
        <v>130</v>
      </c>
      <c r="K3" s="19">
        <v>1</v>
      </c>
    </row>
    <row r="4" ht="42" customHeight="1" spans="1:11" s="18" customFormat="1" x14ac:dyDescent="0.25">
      <c r="A4" s="19" t="s">
        <v>131</v>
      </c>
      <c r="B4" s="19" t="s">
        <v>132</v>
      </c>
      <c r="C4" s="20">
        <v>46220</v>
      </c>
      <c r="D4" s="19" t="s">
        <v>127</v>
      </c>
      <c r="E4" s="19" t="s">
        <v>128</v>
      </c>
      <c r="F4" s="18"/>
      <c r="G4" s="18"/>
      <c r="H4" s="21">
        <v>-50</v>
      </c>
      <c r="I4" s="19" t="s">
        <v>133</v>
      </c>
      <c r="J4" s="22" t="s">
        <v>134</v>
      </c>
      <c r="K4" s="19">
        <v>1</v>
      </c>
    </row>
  </sheetData>
  <autoFilter ref="A1:K4"/>
  <hyperlinks>
    <hyperlink ref="J2" r:id="rId1" location="#'Parsed Supplier Source'!A8"/>
    <hyperlink ref="J3" r:id="rId2" location="#'Parsed Supplier Source'!A10"/>
    <hyperlink ref="J4" r:id="rId3" location="#'Parsed Ledger Source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59</v>
      </c>
      <c r="B1" s="2" t="s">
        <v>88</v>
      </c>
      <c r="C1" s="8" t="s">
        <v>63</v>
      </c>
      <c r="D1" s="8" t="s">
        <v>66</v>
      </c>
      <c r="E1" s="8" t="s">
        <v>135</v>
      </c>
      <c r="F1" s="2" t="s">
        <v>136</v>
      </c>
      <c r="G1" s="2" t="s">
        <v>137</v>
      </c>
      <c r="H1" s="2" t="s">
        <v>138</v>
      </c>
    </row>
    <row r="2" ht="42" customHeight="1" spans="1:8" x14ac:dyDescent="0.25">
      <c r="A2" s="3" t="s">
        <v>98</v>
      </c>
      <c r="B2" s="3" t="s">
        <v>99</v>
      </c>
      <c r="C2" s="23">
        <v>780</v>
      </c>
      <c r="D2" s="23">
        <v>1000</v>
      </c>
      <c r="E2" s="23">
        <v>220</v>
      </c>
      <c r="F2" s="3" t="s">
        <v>102</v>
      </c>
      <c r="G2" s="3" t="s">
        <v>106</v>
      </c>
      <c r="H2" s="24" t="s">
        <v>139</v>
      </c>
    </row>
    <row r="3" ht="42" customHeight="1" spans="1:8" x14ac:dyDescent="0.25">
      <c r="A3" s="3" t="s">
        <v>119</v>
      </c>
      <c r="B3" s="3" t="s">
        <v>140</v>
      </c>
      <c r="C3" s="23">
        <v>220</v>
      </c>
      <c r="D3" s="23">
        <v>0</v>
      </c>
      <c r="E3" s="23">
        <v>-220</v>
      </c>
      <c r="F3" s="3" t="s">
        <v>124</v>
      </c>
      <c r="G3" s="3" t="s">
        <v>141</v>
      </c>
      <c r="H3" s="24" t="s">
        <v>142</v>
      </c>
    </row>
    <row r="4" ht="42" customHeight="1" spans="1:8" x14ac:dyDescent="0.25">
      <c r="A4" s="3" t="s">
        <v>126</v>
      </c>
      <c r="B4" s="3" t="s">
        <v>140</v>
      </c>
      <c r="C4" s="23">
        <v>-50</v>
      </c>
      <c r="D4" s="23">
        <v>0</v>
      </c>
      <c r="E4" s="23">
        <v>50</v>
      </c>
      <c r="F4" s="3" t="s">
        <v>129</v>
      </c>
      <c r="G4" s="3" t="s">
        <v>141</v>
      </c>
      <c r="H4" s="24" t="s">
        <v>143</v>
      </c>
    </row>
    <row r="5" ht="42" customHeight="1" spans="1:8" x14ac:dyDescent="0.25">
      <c r="A5" s="3" t="s">
        <v>131</v>
      </c>
      <c r="B5" s="3" t="s">
        <v>144</v>
      </c>
      <c r="C5" s="23">
        <v>0</v>
      </c>
      <c r="D5" s="23">
        <v>-50</v>
      </c>
      <c r="E5" s="23">
        <v>-50</v>
      </c>
      <c r="F5" s="3" t="s">
        <v>133</v>
      </c>
      <c r="G5" s="3" t="s">
        <v>141</v>
      </c>
      <c r="H5" s="24" t="s">
        <v>145</v>
      </c>
    </row>
    <row r="7" ht="32" customHeight="1" spans="4:5" x14ac:dyDescent="0.25">
      <c r="D7" s="25" t="s">
        <v>48</v>
      </c>
      <c r="E7" s="7">
        <f>SUM(E2:E5)</f>
        <v>0</v>
      </c>
    </row>
    <row r="8" ht="32" customHeight="1" spans="4:5" x14ac:dyDescent="0.25">
      <c r="D8" s="25" t="s">
        <v>27</v>
      </c>
      <c r="E8" s="7">
        <v>1600</v>
      </c>
    </row>
    <row r="9" ht="32" customHeight="1" spans="4:5" x14ac:dyDescent="0.25">
      <c r="D9" s="25" t="s">
        <v>49</v>
      </c>
      <c r="E9" s="7"/>
    </row>
    <row r="10" ht="32" customHeight="1" spans="4:5" x14ac:dyDescent="0.25">
      <c r="D10" s="25" t="s">
        <v>28</v>
      </c>
      <c r="E10" s="7"/>
    </row>
    <row r="11" ht="32" customHeight="1" spans="4:5" x14ac:dyDescent="0.25">
      <c r="D11" s="25" t="s">
        <v>50</v>
      </c>
      <c r="E11" s="7"/>
    </row>
    <row r="13" spans="1:8" x14ac:dyDescent="0.25">
      <c r="A13" s="26" t="s">
        <v>146</v>
      </c>
      <c r="B13" s="26"/>
      <c r="C13" s="26"/>
      <c r="D13" s="26"/>
      <c r="E13" s="26"/>
      <c r="F13" s="26"/>
      <c r="G13" s="26"/>
      <c r="H13" s="26"/>
    </row>
    <row r="14" spans="1:8" x14ac:dyDescent="0.25">
      <c r="A14" s="26"/>
      <c r="B14" s="26"/>
      <c r="C14" s="26"/>
      <c r="D14" s="26"/>
      <c r="E14" s="26"/>
      <c r="F14" s="26"/>
      <c r="G14" s="26"/>
      <c r="H14" s="26"/>
    </row>
  </sheetData>
  <autoFilter ref="A1:H5"/>
  <mergeCells count="1">
    <mergeCell ref="A13:H14"/>
  </mergeCells>
  <hyperlinks>
    <hyperlink ref="H2" r:id="rId1" location="#'Needs Review'!A2"/>
    <hyperlink ref="H3" r:id="rId2" location="#'Unmatched'!A2"/>
    <hyperlink ref="H4" r:id="rId3" location="#'Unmatched'!A3"/>
    <hyperlink ref="H5" r:id="rId4" location="#'Unmatched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147</v>
      </c>
    </row>
    <row r="3" ht="42" customHeight="1" spans="1:2" x14ac:dyDescent="0.25">
      <c r="A3" s="3" t="s">
        <v>148</v>
      </c>
    </row>
    <row r="4" ht="42" customHeight="1" spans="1:2" x14ac:dyDescent="0.25">
      <c r="A4" s="3" t="s">
        <v>149</v>
      </c>
      <c r="B4" s="3" t="s">
        <v>150</v>
      </c>
    </row>
    <row r="5" ht="42" customHeight="1" spans="1:2" x14ac:dyDescent="0.25">
      <c r="A5" s="3" t="s">
        <v>151</v>
      </c>
      <c r="B5" s="3" t="s">
        <v>105</v>
      </c>
    </row>
    <row r="6" ht="42" customHeight="1" spans="1:2" x14ac:dyDescent="0.25">
      <c r="A6" s="3" t="s">
        <v>152</v>
      </c>
      <c r="B6" s="3" t="s">
        <v>153</v>
      </c>
    </row>
    <row r="7" ht="42" customHeight="1" spans="1:2" x14ac:dyDescent="0.25">
      <c r="A7" s="3" t="s">
        <v>154</v>
      </c>
    </row>
    <row r="8" ht="42" customHeight="1" spans="1:2" x14ac:dyDescent="0.25">
      <c r="A8" s="3" t="s">
        <v>2</v>
      </c>
      <c r="B8" s="3" t="s">
        <v>155</v>
      </c>
    </row>
    <row r="9" ht="42" customHeight="1" spans="1:2" x14ac:dyDescent="0.25">
      <c r="A9" s="3" t="s">
        <v>156</v>
      </c>
      <c r="B9" s="24" t="s">
        <v>157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27" customFormat="1" x14ac:dyDescent="0.25">
      <c r="A1" s="27" t="s">
        <v>158</v>
      </c>
      <c r="B1" s="27" t="s">
        <v>159</v>
      </c>
      <c r="C1" s="27" t="s">
        <v>160</v>
      </c>
    </row>
    <row r="2" spans="1:3" s="3" customFormat="1" x14ac:dyDescent="0.25">
      <c r="A2" s="3" t="s">
        <v>32</v>
      </c>
      <c r="B2" s="3" t="s">
        <v>161</v>
      </c>
      <c r="C2" s="3" t="s">
        <v>162</v>
      </c>
    </row>
    <row r="3" spans="1:3" s="3" customFormat="1" x14ac:dyDescent="0.25">
      <c r="A3" s="3" t="s">
        <v>39</v>
      </c>
      <c r="B3" s="3" t="s">
        <v>163</v>
      </c>
      <c r="C3" s="3" t="s">
        <v>162</v>
      </c>
    </row>
    <row r="4" spans="1:3" s="3" customFormat="1" x14ac:dyDescent="0.25">
      <c r="A4" s="3" t="s">
        <v>34</v>
      </c>
      <c r="B4" s="3" t="s">
        <v>164</v>
      </c>
      <c r="C4" s="3" t="s">
        <v>162</v>
      </c>
    </row>
    <row r="5" spans="1:3" s="3" customFormat="1" x14ac:dyDescent="0.25">
      <c r="A5" s="3" t="s">
        <v>39</v>
      </c>
      <c r="B5" s="3" t="s">
        <v>165</v>
      </c>
      <c r="C5" s="3" t="s">
        <v>162</v>
      </c>
    </row>
    <row r="6" spans="1:3" s="3" customFormat="1" x14ac:dyDescent="0.25">
      <c r="A6" s="3" t="s">
        <v>166</v>
      </c>
      <c r="B6" s="3" t="s">
        <v>83</v>
      </c>
      <c r="C6" s="3" t="s">
        <v>167</v>
      </c>
    </row>
    <row r="7" spans="1:3" s="3" customFormat="1" x14ac:dyDescent="0.25">
      <c r="A7" s="3" t="s">
        <v>99</v>
      </c>
      <c r="B7" s="3" t="s">
        <v>102</v>
      </c>
      <c r="C7" s="3" t="s">
        <v>168</v>
      </c>
    </row>
    <row r="8" spans="1:3" s="3" customFormat="1" x14ac:dyDescent="0.25">
      <c r="A8" s="3" t="s">
        <v>169</v>
      </c>
      <c r="B8" s="3" t="s">
        <v>170</v>
      </c>
      <c r="C8" s="3" t="s">
        <v>171</v>
      </c>
    </row>
    <row r="9" spans="1:3" s="3" customFormat="1" x14ac:dyDescent="0.25">
      <c r="A9" s="3" t="s">
        <v>172</v>
      </c>
      <c r="B9" s="3" t="s">
        <v>173</v>
      </c>
      <c r="C9" s="3" t="s">
        <v>174</v>
      </c>
    </row>
  </sheetData>
  <autoFilter ref="A1:C9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</cols>
  <sheetData>
    <row r="1" ht="28" customHeight="1" spans="1:23" s="27" customFormat="1" x14ac:dyDescent="0.25">
      <c r="A1" s="27" t="s">
        <v>59</v>
      </c>
      <c r="B1" s="27" t="s">
        <v>88</v>
      </c>
      <c r="C1" s="27" t="s">
        <v>71</v>
      </c>
      <c r="D1" s="27" t="s">
        <v>69</v>
      </c>
      <c r="E1" s="27" t="s">
        <v>70</v>
      </c>
      <c r="F1" s="27" t="s">
        <v>109</v>
      </c>
      <c r="G1" s="27" t="s">
        <v>175</v>
      </c>
      <c r="H1" s="27" t="s">
        <v>176</v>
      </c>
      <c r="I1" s="27" t="s">
        <v>177</v>
      </c>
      <c r="J1" s="27" t="s">
        <v>178</v>
      </c>
      <c r="K1" s="27" t="s">
        <v>110</v>
      </c>
      <c r="L1" s="27" t="s">
        <v>179</v>
      </c>
      <c r="M1" s="27" t="s">
        <v>180</v>
      </c>
      <c r="N1" s="27" t="s">
        <v>181</v>
      </c>
      <c r="O1" s="27" t="s">
        <v>182</v>
      </c>
      <c r="P1" s="27" t="s">
        <v>183</v>
      </c>
      <c r="Q1" s="27" t="s">
        <v>184</v>
      </c>
      <c r="R1" s="27" t="s">
        <v>8</v>
      </c>
      <c r="S1" s="28" t="s">
        <v>115</v>
      </c>
      <c r="T1" s="27" t="s">
        <v>117</v>
      </c>
      <c r="U1" s="27" t="s">
        <v>185</v>
      </c>
      <c r="V1" s="27" t="s">
        <v>186</v>
      </c>
      <c r="W1" s="27" t="s">
        <v>187</v>
      </c>
    </row>
    <row r="2" spans="1:23" s="3" customFormat="1" x14ac:dyDescent="0.25">
      <c r="A2" s="3" t="s">
        <v>78</v>
      </c>
      <c r="B2" s="3" t="s">
        <v>166</v>
      </c>
      <c r="C2" s="3" t="s">
        <v>84</v>
      </c>
      <c r="D2" s="3" t="s">
        <v>82</v>
      </c>
      <c r="E2" s="3" t="s">
        <v>83</v>
      </c>
      <c r="F2" s="3" t="s">
        <v>120</v>
      </c>
      <c r="G2" s="3" t="s">
        <v>188</v>
      </c>
      <c r="H2" s="3" t="s">
        <v>189</v>
      </c>
      <c r="I2" s="3">
        <v>8</v>
      </c>
      <c r="J2" s="3" t="s">
        <v>162</v>
      </c>
      <c r="K2" s="4">
        <v>46219</v>
      </c>
      <c r="L2" s="3" t="s">
        <v>80</v>
      </c>
      <c r="M2" s="3" t="s">
        <v>190</v>
      </c>
      <c r="N2" s="3" t="s">
        <v>162</v>
      </c>
      <c r="O2" s="3" t="s">
        <v>162</v>
      </c>
      <c r="P2" s="3" t="s">
        <v>80</v>
      </c>
      <c r="Q2" s="3" t="s">
        <v>190</v>
      </c>
      <c r="R2" s="3" t="s">
        <v>9</v>
      </c>
      <c r="S2" s="23">
        <v>-350</v>
      </c>
      <c r="T2" s="3" t="s">
        <v>86</v>
      </c>
      <c r="U2" s="3" t="s">
        <v>162</v>
      </c>
      <c r="V2" s="3" t="s">
        <v>162</v>
      </c>
      <c r="W2" s="3" t="s">
        <v>162</v>
      </c>
    </row>
    <row r="3" spans="1:23" s="3" customFormat="1" x14ac:dyDescent="0.25">
      <c r="A3" s="3" t="s">
        <v>78</v>
      </c>
      <c r="B3" s="3" t="s">
        <v>166</v>
      </c>
      <c r="C3" s="3" t="s">
        <v>84</v>
      </c>
      <c r="D3" s="3" t="s">
        <v>82</v>
      </c>
      <c r="E3" s="3" t="s">
        <v>83</v>
      </c>
      <c r="F3" s="3" t="s">
        <v>132</v>
      </c>
      <c r="G3" s="3" t="s">
        <v>191</v>
      </c>
      <c r="H3" s="3" t="s">
        <v>18</v>
      </c>
      <c r="I3" s="3">
        <v>3</v>
      </c>
      <c r="J3" s="3" t="s">
        <v>162</v>
      </c>
      <c r="K3" s="4">
        <v>46219</v>
      </c>
      <c r="L3" s="3" t="s">
        <v>80</v>
      </c>
      <c r="M3" s="3" t="s">
        <v>190</v>
      </c>
      <c r="N3" s="3" t="s">
        <v>162</v>
      </c>
      <c r="O3" s="3" t="s">
        <v>162</v>
      </c>
      <c r="P3" s="3" t="s">
        <v>80</v>
      </c>
      <c r="Q3" s="3" t="s">
        <v>190</v>
      </c>
      <c r="R3" s="3" t="s">
        <v>9</v>
      </c>
      <c r="S3" s="23">
        <v>-350</v>
      </c>
      <c r="T3" s="3" t="s">
        <v>87</v>
      </c>
      <c r="U3" s="3" t="s">
        <v>162</v>
      </c>
      <c r="V3" s="3" t="s">
        <v>162</v>
      </c>
      <c r="W3" s="3" t="s">
        <v>162</v>
      </c>
    </row>
    <row r="4" spans="1:23" s="3" customFormat="1" x14ac:dyDescent="0.25">
      <c r="A4" s="3" t="s">
        <v>98</v>
      </c>
      <c r="B4" s="3" t="s">
        <v>99</v>
      </c>
      <c r="C4" s="3" t="s">
        <v>106</v>
      </c>
      <c r="D4" s="3" t="s">
        <v>192</v>
      </c>
      <c r="E4" s="3" t="s">
        <v>102</v>
      </c>
      <c r="F4" s="3" t="s">
        <v>120</v>
      </c>
      <c r="G4" s="3" t="s">
        <v>193</v>
      </c>
      <c r="H4" s="3" t="s">
        <v>189</v>
      </c>
      <c r="I4" s="3">
        <v>6</v>
      </c>
      <c r="J4" s="3" t="s">
        <v>162</v>
      </c>
      <c r="K4" s="4">
        <v>46218</v>
      </c>
      <c r="L4" s="3" t="s">
        <v>194</v>
      </c>
      <c r="M4" s="3" t="s">
        <v>194</v>
      </c>
      <c r="N4" s="3" t="s">
        <v>162</v>
      </c>
      <c r="O4" s="3" t="s">
        <v>195</v>
      </c>
      <c r="P4" s="3" t="s">
        <v>162</v>
      </c>
      <c r="Q4" s="3" t="s">
        <v>162</v>
      </c>
      <c r="R4" s="3" t="s">
        <v>9</v>
      </c>
      <c r="S4" s="23">
        <v>780</v>
      </c>
      <c r="T4" s="3" t="s">
        <v>107</v>
      </c>
      <c r="U4" s="3" t="s">
        <v>162</v>
      </c>
      <c r="V4" s="3" t="s">
        <v>162</v>
      </c>
      <c r="W4" s="3" t="s">
        <v>162</v>
      </c>
    </row>
    <row r="5" spans="1:23" s="3" customFormat="1" x14ac:dyDescent="0.25">
      <c r="A5" s="3" t="s">
        <v>98</v>
      </c>
      <c r="B5" s="3" t="s">
        <v>99</v>
      </c>
      <c r="C5" s="3" t="s">
        <v>106</v>
      </c>
      <c r="D5" s="3" t="s">
        <v>192</v>
      </c>
      <c r="E5" s="3" t="s">
        <v>102</v>
      </c>
      <c r="F5" s="3" t="s">
        <v>132</v>
      </c>
      <c r="G5" s="3" t="s">
        <v>196</v>
      </c>
      <c r="H5" s="3" t="s">
        <v>18</v>
      </c>
      <c r="I5" s="3">
        <v>2</v>
      </c>
      <c r="J5" s="3" t="s">
        <v>162</v>
      </c>
      <c r="K5" s="4">
        <v>46218</v>
      </c>
      <c r="L5" s="3" t="s">
        <v>194</v>
      </c>
      <c r="M5" s="3" t="s">
        <v>194</v>
      </c>
      <c r="N5" s="3" t="s">
        <v>162</v>
      </c>
      <c r="O5" s="3" t="s">
        <v>195</v>
      </c>
      <c r="P5" s="3" t="s">
        <v>162</v>
      </c>
      <c r="Q5" s="3" t="s">
        <v>162</v>
      </c>
      <c r="R5" s="3" t="s">
        <v>9</v>
      </c>
      <c r="S5" s="23">
        <v>1000</v>
      </c>
      <c r="T5" s="3" t="s">
        <v>108</v>
      </c>
      <c r="U5" s="3" t="s">
        <v>162</v>
      </c>
      <c r="V5" s="3" t="s">
        <v>162</v>
      </c>
      <c r="W5" s="3" t="s">
        <v>162</v>
      </c>
    </row>
    <row r="6" spans="1:23" s="3" customFormat="1" x14ac:dyDescent="0.25">
      <c r="A6" s="3" t="s">
        <v>119</v>
      </c>
      <c r="B6" s="3" t="s">
        <v>140</v>
      </c>
      <c r="C6" s="3" t="s">
        <v>141</v>
      </c>
      <c r="D6" s="3" t="s">
        <v>197</v>
      </c>
      <c r="E6" s="3" t="s">
        <v>124</v>
      </c>
      <c r="F6" s="3" t="s">
        <v>120</v>
      </c>
      <c r="G6" s="3" t="s">
        <v>171</v>
      </c>
      <c r="H6" s="3" t="s">
        <v>189</v>
      </c>
      <c r="I6" s="3">
        <v>7</v>
      </c>
      <c r="J6" s="3" t="s">
        <v>162</v>
      </c>
      <c r="K6" s="4">
        <v>46218</v>
      </c>
      <c r="L6" s="3" t="s">
        <v>122</v>
      </c>
      <c r="M6" s="3" t="s">
        <v>122</v>
      </c>
      <c r="N6" s="3" t="s">
        <v>162</v>
      </c>
      <c r="O6" s="3" t="s">
        <v>123</v>
      </c>
      <c r="P6" s="3" t="s">
        <v>162</v>
      </c>
      <c r="Q6" s="3" t="s">
        <v>162</v>
      </c>
      <c r="R6" s="3" t="s">
        <v>9</v>
      </c>
      <c r="S6" s="23">
        <v>220</v>
      </c>
      <c r="T6" s="3" t="s">
        <v>125</v>
      </c>
      <c r="U6" s="3" t="s">
        <v>162</v>
      </c>
      <c r="V6" s="3" t="s">
        <v>162</v>
      </c>
      <c r="W6" s="3" t="s">
        <v>162</v>
      </c>
    </row>
    <row r="7" spans="1:23" s="3" customFormat="1" x14ac:dyDescent="0.25">
      <c r="A7" s="3" t="s">
        <v>126</v>
      </c>
      <c r="B7" s="3" t="s">
        <v>140</v>
      </c>
      <c r="C7" s="3" t="s">
        <v>141</v>
      </c>
      <c r="D7" s="3" t="s">
        <v>197</v>
      </c>
      <c r="E7" s="3" t="s">
        <v>129</v>
      </c>
      <c r="F7" s="3" t="s">
        <v>120</v>
      </c>
      <c r="G7" s="3" t="s">
        <v>198</v>
      </c>
      <c r="H7" s="3" t="s">
        <v>189</v>
      </c>
      <c r="I7" s="3">
        <v>9</v>
      </c>
      <c r="J7" s="3" t="s">
        <v>162</v>
      </c>
      <c r="K7" s="4">
        <v>46220</v>
      </c>
      <c r="L7" s="3" t="s">
        <v>128</v>
      </c>
      <c r="M7" s="3" t="s">
        <v>128</v>
      </c>
      <c r="N7" s="3" t="s">
        <v>162</v>
      </c>
      <c r="O7" s="3" t="s">
        <v>162</v>
      </c>
      <c r="P7" s="3" t="s">
        <v>162</v>
      </c>
      <c r="Q7" s="3" t="s">
        <v>162</v>
      </c>
      <c r="R7" s="3" t="s">
        <v>9</v>
      </c>
      <c r="S7" s="23">
        <v>-50</v>
      </c>
      <c r="T7" s="3" t="s">
        <v>130</v>
      </c>
      <c r="U7" s="3" t="s">
        <v>162</v>
      </c>
      <c r="V7" s="3" t="s">
        <v>162</v>
      </c>
      <c r="W7" s="3" t="s">
        <v>162</v>
      </c>
    </row>
    <row r="8" spans="1:23" s="3" customFormat="1" x14ac:dyDescent="0.25">
      <c r="A8" s="3" t="s">
        <v>131</v>
      </c>
      <c r="B8" s="3" t="s">
        <v>144</v>
      </c>
      <c r="C8" s="3" t="s">
        <v>141</v>
      </c>
      <c r="D8" s="3" t="s">
        <v>199</v>
      </c>
      <c r="E8" s="3" t="s">
        <v>133</v>
      </c>
      <c r="F8" s="3" t="s">
        <v>132</v>
      </c>
      <c r="G8" s="3" t="s">
        <v>174</v>
      </c>
      <c r="H8" s="3" t="s">
        <v>18</v>
      </c>
      <c r="I8" s="3">
        <v>4</v>
      </c>
      <c r="J8" s="3" t="s">
        <v>162</v>
      </c>
      <c r="K8" s="4">
        <v>46220</v>
      </c>
      <c r="L8" s="3" t="s">
        <v>128</v>
      </c>
      <c r="M8" s="3" t="s">
        <v>128</v>
      </c>
      <c r="N8" s="3" t="s">
        <v>162</v>
      </c>
      <c r="O8" s="3" t="s">
        <v>162</v>
      </c>
      <c r="P8" s="3" t="s">
        <v>162</v>
      </c>
      <c r="Q8" s="3" t="s">
        <v>162</v>
      </c>
      <c r="R8" s="3" t="s">
        <v>9</v>
      </c>
      <c r="S8" s="23">
        <v>-50</v>
      </c>
      <c r="T8" s="3" t="s">
        <v>134</v>
      </c>
      <c r="U8" s="3" t="s">
        <v>162</v>
      </c>
      <c r="V8" s="3" t="s">
        <v>162</v>
      </c>
      <c r="W8" s="3" t="s">
        <v>162</v>
      </c>
    </row>
  </sheetData>
  <autoFilter ref="A1:W8"/>
  <hyperlinks>
    <hyperlink ref="T2" r:id="rId1" location="#'Parsed Supplier Source'!A9"/>
    <hyperlink ref="T3" r:id="rId2" location="#'Parsed Ledger Source'!A4"/>
    <hyperlink ref="T4" r:id="rId3" location="#'Parsed Supplier Source'!A7"/>
    <hyperlink ref="T5" r:id="rId4" location="#'Parsed Ledger Source'!A3"/>
    <hyperlink ref="T6" r:id="rId5" location="#'Parsed Supplier Source'!A8"/>
    <hyperlink ref="T7" r:id="rId6" location="#'Parsed Supplier Source'!A10"/>
    <hyperlink ref="T8" r:id="rId7" location="#'Parsed Ledger Source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27" customFormat="1" x14ac:dyDescent="0.25">
      <c r="A1" s="27" t="s">
        <v>200</v>
      </c>
      <c r="B1" s="27" t="s">
        <v>201</v>
      </c>
      <c r="C1" s="27" t="s">
        <v>202</v>
      </c>
      <c r="D1" s="27" t="s">
        <v>97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6" customWidth="1"/>
    <col min="5" max="5" width="25" customWidth="1"/>
    <col min="6" max="6" width="56" customWidth="1"/>
  </cols>
  <sheetData>
    <row r="1" ht="28" customHeight="1" spans="1:6" s="27" customFormat="1" x14ac:dyDescent="0.25">
      <c r="A1" s="27" t="s">
        <v>109</v>
      </c>
      <c r="B1" s="27" t="s">
        <v>176</v>
      </c>
      <c r="C1" s="27" t="s">
        <v>203</v>
      </c>
      <c r="D1" s="27" t="s">
        <v>204</v>
      </c>
      <c r="E1" s="27" t="s">
        <v>205</v>
      </c>
      <c r="F1" s="27" t="s">
        <v>206</v>
      </c>
    </row>
    <row r="2" spans="1:6" s="3" customFormat="1" x14ac:dyDescent="0.25">
      <c r="A2" s="3" t="s">
        <v>120</v>
      </c>
      <c r="B2" s="3" t="s">
        <v>189</v>
      </c>
      <c r="C2" s="3" t="s">
        <v>207</v>
      </c>
      <c r="D2" s="3">
        <v>1000</v>
      </c>
      <c r="E2" s="3" t="s">
        <v>162</v>
      </c>
      <c r="F2" s="3" t="s">
        <v>162</v>
      </c>
    </row>
    <row r="3" spans="1:6" s="3" customFormat="1" x14ac:dyDescent="0.25">
      <c r="A3" s="3" t="s">
        <v>120</v>
      </c>
      <c r="B3" s="3" t="s">
        <v>189</v>
      </c>
      <c r="C3" s="3" t="s">
        <v>208</v>
      </c>
      <c r="D3" s="3">
        <v>780</v>
      </c>
      <c r="E3" s="3" t="s">
        <v>162</v>
      </c>
      <c r="F3" s="3" t="s">
        <v>162</v>
      </c>
    </row>
    <row r="4" spans="1:6" s="3" customFormat="1" x14ac:dyDescent="0.25">
      <c r="A4" s="3" t="s">
        <v>120</v>
      </c>
      <c r="B4" s="3" t="s">
        <v>189</v>
      </c>
      <c r="C4" s="3" t="s">
        <v>209</v>
      </c>
      <c r="D4" s="3">
        <v>1780</v>
      </c>
      <c r="E4" s="3" t="s">
        <v>162</v>
      </c>
      <c r="F4" s="3" t="s">
        <v>162</v>
      </c>
    </row>
    <row r="5" spans="1:6" s="3" customFormat="1" x14ac:dyDescent="0.25">
      <c r="A5" s="3" t="s">
        <v>120</v>
      </c>
      <c r="B5" s="3" t="s">
        <v>189</v>
      </c>
      <c r="C5" s="3" t="s">
        <v>210</v>
      </c>
      <c r="D5" s="3">
        <v>220</v>
      </c>
      <c r="E5" s="3" t="s">
        <v>162</v>
      </c>
      <c r="F5" s="3" t="s">
        <v>162</v>
      </c>
    </row>
    <row r="6" spans="1:6" s="3" customFormat="1" x14ac:dyDescent="0.25">
      <c r="A6" s="3" t="s">
        <v>120</v>
      </c>
      <c r="B6" s="3" t="s">
        <v>189</v>
      </c>
      <c r="C6" s="3" t="s">
        <v>211</v>
      </c>
      <c r="D6" s="3">
        <v>2000</v>
      </c>
      <c r="E6" s="3" t="s">
        <v>162</v>
      </c>
      <c r="F6" s="3" t="s">
        <v>162</v>
      </c>
    </row>
    <row r="7" spans="1:6" s="3" customFormat="1" x14ac:dyDescent="0.25">
      <c r="A7" s="3" t="s">
        <v>120</v>
      </c>
      <c r="B7" s="3" t="s">
        <v>189</v>
      </c>
      <c r="C7" s="3" t="s">
        <v>212</v>
      </c>
      <c r="D7" s="3">
        <v>350</v>
      </c>
      <c r="E7" s="3" t="s">
        <v>162</v>
      </c>
      <c r="F7" s="3" t="s">
        <v>162</v>
      </c>
    </row>
    <row r="8" spans="1:6" s="3" customFormat="1" x14ac:dyDescent="0.25">
      <c r="A8" s="3" t="s">
        <v>120</v>
      </c>
      <c r="B8" s="3" t="s">
        <v>189</v>
      </c>
      <c r="C8" s="3" t="s">
        <v>213</v>
      </c>
      <c r="D8" s="3">
        <v>1650</v>
      </c>
      <c r="E8" s="3" t="s">
        <v>162</v>
      </c>
      <c r="F8" s="3" t="s">
        <v>162</v>
      </c>
    </row>
    <row r="9" spans="1:6" s="3" customFormat="1" x14ac:dyDescent="0.25">
      <c r="A9" s="3" t="s">
        <v>120</v>
      </c>
      <c r="B9" s="3" t="s">
        <v>189</v>
      </c>
      <c r="C9" s="3" t="s">
        <v>214</v>
      </c>
      <c r="D9" s="3">
        <v>50</v>
      </c>
      <c r="E9" s="3" t="s">
        <v>162</v>
      </c>
      <c r="F9" s="3" t="s">
        <v>162</v>
      </c>
    </row>
    <row r="10" spans="1:6" s="3" customFormat="1" x14ac:dyDescent="0.25">
      <c r="A10" s="3" t="s">
        <v>120</v>
      </c>
      <c r="B10" s="3" t="s">
        <v>189</v>
      </c>
      <c r="C10" s="3" t="s">
        <v>215</v>
      </c>
      <c r="D10" s="3">
        <v>1600</v>
      </c>
      <c r="E10" s="3" t="s">
        <v>162</v>
      </c>
      <c r="F10" s="3" t="s">
        <v>162</v>
      </c>
    </row>
    <row r="11" spans="1:6" s="3" customFormat="1" x14ac:dyDescent="0.25">
      <c r="A11" s="3" t="s">
        <v>120</v>
      </c>
      <c r="B11" s="3" t="s">
        <v>189</v>
      </c>
      <c r="C11" s="3" t="s">
        <v>216</v>
      </c>
      <c r="D11" s="3">
        <v>1600</v>
      </c>
      <c r="E11" s="3" t="s">
        <v>162</v>
      </c>
      <c r="F11" s="3" t="s">
        <v>162</v>
      </c>
    </row>
  </sheetData>
  <autoFilter ref="A1:F1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7" customFormat="1" x14ac:dyDescent="0.25">
      <c r="A1" s="27" t="s">
        <v>217</v>
      </c>
      <c r="B1" s="27" t="s">
        <v>218</v>
      </c>
      <c r="C1" s="27" t="s">
        <v>219</v>
      </c>
      <c r="D1" s="27" t="s">
        <v>220</v>
      </c>
      <c r="E1" s="27" t="s">
        <v>221</v>
      </c>
      <c r="F1" s="27" t="s">
        <v>222</v>
      </c>
      <c r="G1" s="27" t="s">
        <v>223</v>
      </c>
      <c r="H1" s="28" t="s">
        <v>224</v>
      </c>
      <c r="I1" s="27" t="s">
        <v>225</v>
      </c>
      <c r="J1" s="27" t="s">
        <v>226</v>
      </c>
    </row>
    <row r="2" spans="1:10" s="3" customFormat="1" x14ac:dyDescent="0.25">
      <c r="A2" s="3" t="s">
        <v>193</v>
      </c>
      <c r="B2" s="3" t="s">
        <v>189</v>
      </c>
      <c r="C2" s="3">
        <v>6</v>
      </c>
      <c r="D2" s="4">
        <v>46218</v>
      </c>
      <c r="E2" s="3" t="s">
        <v>194</v>
      </c>
      <c r="F2" s="3" t="s">
        <v>227</v>
      </c>
      <c r="G2" s="3" t="s">
        <v>162</v>
      </c>
      <c r="H2" s="23">
        <v>780</v>
      </c>
      <c r="I2" s="3" t="s">
        <v>228</v>
      </c>
      <c r="J2" s="3" t="s">
        <v>162</v>
      </c>
    </row>
    <row r="3" spans="1:10" s="3" customFormat="1" x14ac:dyDescent="0.25">
      <c r="A3" s="3" t="s">
        <v>171</v>
      </c>
      <c r="B3" s="3" t="s">
        <v>189</v>
      </c>
      <c r="C3" s="3">
        <v>7</v>
      </c>
      <c r="D3" s="4">
        <v>46218</v>
      </c>
      <c r="E3" s="3" t="s">
        <v>122</v>
      </c>
      <c r="F3" s="3" t="s">
        <v>229</v>
      </c>
      <c r="G3" s="3" t="s">
        <v>162</v>
      </c>
      <c r="H3" s="23">
        <v>220</v>
      </c>
      <c r="I3" s="3" t="s">
        <v>230</v>
      </c>
      <c r="J3" s="3" t="s">
        <v>162</v>
      </c>
    </row>
    <row r="4" spans="1:10" s="3" customFormat="1" x14ac:dyDescent="0.25">
      <c r="A4" s="3" t="s">
        <v>188</v>
      </c>
      <c r="B4" s="3" t="s">
        <v>189</v>
      </c>
      <c r="C4" s="3">
        <v>8</v>
      </c>
      <c r="D4" s="4">
        <v>46219</v>
      </c>
      <c r="E4" s="3" t="s">
        <v>80</v>
      </c>
      <c r="F4" s="3" t="s">
        <v>231</v>
      </c>
      <c r="G4" s="3" t="s">
        <v>162</v>
      </c>
      <c r="H4" s="23">
        <v>-350</v>
      </c>
      <c r="I4" s="3" t="s">
        <v>232</v>
      </c>
      <c r="J4" s="3" t="s">
        <v>162</v>
      </c>
    </row>
    <row r="5" spans="1:10" s="3" customFormat="1" x14ac:dyDescent="0.25">
      <c r="A5" s="3" t="s">
        <v>198</v>
      </c>
      <c r="B5" s="3" t="s">
        <v>189</v>
      </c>
      <c r="C5" s="3">
        <v>9</v>
      </c>
      <c r="D5" s="4">
        <v>46220</v>
      </c>
      <c r="E5" s="3" t="s">
        <v>128</v>
      </c>
      <c r="F5" s="3" t="s">
        <v>233</v>
      </c>
      <c r="G5" s="3" t="s">
        <v>162</v>
      </c>
      <c r="H5" s="23">
        <v>-50</v>
      </c>
      <c r="I5" s="3" t="s">
        <v>234</v>
      </c>
      <c r="J5" s="3" t="s">
        <v>162</v>
      </c>
    </row>
  </sheetData>
  <autoFilter ref="A1:J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7" customFormat="1" x14ac:dyDescent="0.25">
      <c r="A1" s="27" t="s">
        <v>217</v>
      </c>
      <c r="B1" s="27" t="s">
        <v>218</v>
      </c>
      <c r="C1" s="27" t="s">
        <v>219</v>
      </c>
      <c r="D1" s="27" t="s">
        <v>220</v>
      </c>
      <c r="E1" s="27" t="s">
        <v>221</v>
      </c>
      <c r="F1" s="27" t="s">
        <v>222</v>
      </c>
      <c r="G1" s="27" t="s">
        <v>223</v>
      </c>
      <c r="H1" s="28" t="s">
        <v>224</v>
      </c>
      <c r="I1" s="27" t="s">
        <v>225</v>
      </c>
      <c r="J1" s="27" t="s">
        <v>226</v>
      </c>
    </row>
    <row r="2" spans="1:10" s="3" customFormat="1" x14ac:dyDescent="0.25">
      <c r="A2" s="3" t="s">
        <v>196</v>
      </c>
      <c r="B2" s="3" t="s">
        <v>18</v>
      </c>
      <c r="C2" s="3">
        <v>2</v>
      </c>
      <c r="D2" s="4">
        <v>46218</v>
      </c>
      <c r="E2" s="3" t="s">
        <v>194</v>
      </c>
      <c r="F2" s="3" t="s">
        <v>227</v>
      </c>
      <c r="G2" s="3" t="s">
        <v>162</v>
      </c>
      <c r="H2" s="23">
        <v>1000</v>
      </c>
      <c r="I2" s="3" t="s">
        <v>235</v>
      </c>
      <c r="J2" s="3" t="s">
        <v>162</v>
      </c>
    </row>
    <row r="3" spans="1:10" s="3" customFormat="1" x14ac:dyDescent="0.25">
      <c r="A3" s="3" t="s">
        <v>191</v>
      </c>
      <c r="B3" s="3" t="s">
        <v>18</v>
      </c>
      <c r="C3" s="3">
        <v>3</v>
      </c>
      <c r="D3" s="4">
        <v>46219</v>
      </c>
      <c r="E3" s="3" t="s">
        <v>80</v>
      </c>
      <c r="F3" s="3" t="s">
        <v>231</v>
      </c>
      <c r="G3" s="3" t="s">
        <v>162</v>
      </c>
      <c r="H3" s="23">
        <v>-350</v>
      </c>
      <c r="I3" s="3" t="s">
        <v>236</v>
      </c>
      <c r="J3" s="3" t="s">
        <v>162</v>
      </c>
    </row>
    <row r="4" spans="1:10" s="3" customFormat="1" x14ac:dyDescent="0.25">
      <c r="A4" s="3" t="s">
        <v>174</v>
      </c>
      <c r="B4" s="3" t="s">
        <v>18</v>
      </c>
      <c r="C4" s="3">
        <v>4</v>
      </c>
      <c r="D4" s="4">
        <v>46220</v>
      </c>
      <c r="E4" s="3" t="s">
        <v>128</v>
      </c>
      <c r="F4" s="3" t="s">
        <v>233</v>
      </c>
      <c r="G4" s="3" t="s">
        <v>162</v>
      </c>
      <c r="H4" s="23">
        <v>-50</v>
      </c>
      <c r="I4" s="3" t="s">
        <v>237</v>
      </c>
      <c r="J4" s="3" t="s">
        <v>162</v>
      </c>
    </row>
  </sheetData>
  <autoFilter ref="A1:J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4" width="45" customWidth="1"/>
  </cols>
  <sheetData>
    <row r="1" ht="28" customHeight="1" spans="1:4" s="27" customFormat="1" x14ac:dyDescent="0.25">
      <c r="A1" s="27" t="s">
        <v>238</v>
      </c>
      <c r="B1" s="27" t="s">
        <v>219</v>
      </c>
      <c r="C1" s="27" t="s">
        <v>239</v>
      </c>
      <c r="D1" s="27" t="s">
        <v>240</v>
      </c>
    </row>
    <row r="2" spans="1:4" s="3" customFormat="1" x14ac:dyDescent="0.25">
      <c r="A2" s="3" t="s">
        <v>241</v>
      </c>
      <c r="B2" s="3">
        <v>1</v>
      </c>
      <c r="C2" s="3" t="s">
        <v>242</v>
      </c>
      <c r="D2" s="3" t="s">
        <v>243</v>
      </c>
    </row>
    <row r="3" spans="1:4" s="3" customFormat="1" x14ac:dyDescent="0.25">
      <c r="A3" s="3" t="s">
        <v>241</v>
      </c>
      <c r="B3" s="3">
        <v>2</v>
      </c>
      <c r="C3" s="3" t="s">
        <v>242</v>
      </c>
      <c r="D3" s="3" t="s">
        <v>244</v>
      </c>
    </row>
    <row r="4" spans="1:4" s="3" customFormat="1" x14ac:dyDescent="0.25">
      <c r="A4" s="3" t="s">
        <v>241</v>
      </c>
      <c r="B4" s="3">
        <v>3</v>
      </c>
      <c r="C4" s="3" t="s">
        <v>242</v>
      </c>
      <c r="D4" s="3" t="s">
        <v>245</v>
      </c>
    </row>
    <row r="5" spans="1:4" s="3" customFormat="1" x14ac:dyDescent="0.25">
      <c r="A5" s="3" t="s">
        <v>241</v>
      </c>
      <c r="B5" s="3">
        <v>4</v>
      </c>
      <c r="C5" s="3" t="s">
        <v>246</v>
      </c>
      <c r="D5" s="3" t="s">
        <v>247</v>
      </c>
    </row>
    <row r="6" spans="1:4" s="3" customFormat="1" x14ac:dyDescent="0.25">
      <c r="A6" s="3" t="s">
        <v>241</v>
      </c>
      <c r="B6" s="3">
        <v>5</v>
      </c>
      <c r="C6" s="3" t="s">
        <v>248</v>
      </c>
      <c r="D6" s="3" t="s">
        <v>249</v>
      </c>
    </row>
    <row r="7" spans="1:4" s="3" customFormat="1" x14ac:dyDescent="0.25">
      <c r="A7" s="3" t="s">
        <v>241</v>
      </c>
      <c r="B7" s="3">
        <v>10</v>
      </c>
      <c r="C7" s="3" t="s">
        <v>250</v>
      </c>
      <c r="D7" s="3" t="s">
        <v>251</v>
      </c>
    </row>
    <row r="8" spans="1:4" s="3" customFormat="1" x14ac:dyDescent="0.25">
      <c r="A8" s="3" t="s">
        <v>252</v>
      </c>
      <c r="B8" s="3">
        <v>1</v>
      </c>
      <c r="C8" s="3" t="s">
        <v>246</v>
      </c>
      <c r="D8" s="3" t="s">
        <v>253</v>
      </c>
    </row>
  </sheetData>
  <autoFilter ref="A1:D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27" customFormat="1" x14ac:dyDescent="0.25">
      <c r="A1" s="27" t="s">
        <v>254</v>
      </c>
      <c r="B1" s="27" t="s">
        <v>255</v>
      </c>
    </row>
    <row r="2" spans="1:2" s="3" customFormat="1" x14ac:dyDescent="0.25">
      <c r="A2" s="3" t="s">
        <v>256</v>
      </c>
      <c r="B2" s="3" t="s">
        <v>257</v>
      </c>
    </row>
    <row r="3" spans="1:2" s="3" customFormat="1" x14ac:dyDescent="0.25">
      <c r="A3" s="3" t="s">
        <v>258</v>
      </c>
      <c r="B3" s="3" t="s">
        <v>259</v>
      </c>
    </row>
    <row r="4" spans="1:2" s="3" customFormat="1" x14ac:dyDescent="0.25">
      <c r="A4" s="3" t="s">
        <v>260</v>
      </c>
      <c r="B4" s="3" t="s">
        <v>261</v>
      </c>
    </row>
    <row r="5" spans="1:2" s="3" customFormat="1" x14ac:dyDescent="0.25">
      <c r="A5" s="3" t="s">
        <v>262</v>
      </c>
      <c r="B5" s="3" t="s">
        <v>263</v>
      </c>
    </row>
    <row r="6" spans="1:2" s="3" customFormat="1" x14ac:dyDescent="0.25">
      <c r="A6" s="3" t="s">
        <v>264</v>
      </c>
      <c r="B6" s="3" t="s">
        <v>263</v>
      </c>
    </row>
    <row r="7" spans="1:2" s="3" customFormat="1" x14ac:dyDescent="0.25">
      <c r="A7" s="3" t="s">
        <v>265</v>
      </c>
      <c r="B7" s="3" t="s">
        <v>266</v>
      </c>
    </row>
    <row r="8" spans="1:2" s="3" customFormat="1" x14ac:dyDescent="0.25">
      <c r="A8" s="3" t="s">
        <v>267</v>
      </c>
      <c r="B8" s="3" t="s">
        <v>268</v>
      </c>
    </row>
    <row r="9" spans="1:2" s="3" customFormat="1" x14ac:dyDescent="0.25">
      <c r="A9" s="3" t="s">
        <v>269</v>
      </c>
      <c r="B9" s="3" t="s">
        <v>270</v>
      </c>
    </row>
    <row r="10" spans="1:2" s="3" customFormat="1" x14ac:dyDescent="0.25">
      <c r="A10" s="3" t="s">
        <v>271</v>
      </c>
      <c r="B10" s="3" t="s">
        <v>270</v>
      </c>
    </row>
    <row r="11" spans="1:2" s="3" customFormat="1" x14ac:dyDescent="0.25">
      <c r="A11" s="3" t="s">
        <v>272</v>
      </c>
      <c r="B11" s="3" t="s">
        <v>273</v>
      </c>
    </row>
    <row r="12" spans="1:2" s="3" customFormat="1" x14ac:dyDescent="0.25">
      <c r="A12" s="3" t="s">
        <v>274</v>
      </c>
      <c r="B12" s="3" t="s">
        <v>275</v>
      </c>
    </row>
    <row r="13" spans="1:2" s="3" customFormat="1" x14ac:dyDescent="0.25">
      <c r="A13" s="3" t="s">
        <v>276</v>
      </c>
      <c r="B13" s="3" t="s">
        <v>277</v>
      </c>
    </row>
    <row r="14" spans="1:2" s="3" customFormat="1" x14ac:dyDescent="0.25">
      <c r="A14" s="3" t="s">
        <v>278</v>
      </c>
      <c r="B14" s="3" t="s">
        <v>162</v>
      </c>
    </row>
    <row r="15" spans="1:2" s="3" customFormat="1" x14ac:dyDescent="0.25">
      <c r="A15" s="3" t="s">
        <v>279</v>
      </c>
      <c r="B15" s="3" t="s">
        <v>162</v>
      </c>
    </row>
    <row r="16" spans="1:2" s="3" customFormat="1" x14ac:dyDescent="0.25">
      <c r="A16" s="3" t="s">
        <v>280</v>
      </c>
      <c r="B16" s="3" t="s">
        <v>281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10" width="41" customWidth="1"/>
  </cols>
  <sheetData>
    <row r="1" ht="28" customHeight="1" spans="1:10" s="27" customFormat="1" x14ac:dyDescent="0.25">
      <c r="A1" s="27" t="s">
        <v>219</v>
      </c>
      <c r="B1" s="27" t="s">
        <v>282</v>
      </c>
      <c r="C1" s="27" t="s">
        <v>283</v>
      </c>
      <c r="D1" s="27" t="s">
        <v>284</v>
      </c>
      <c r="E1" s="27" t="s">
        <v>285</v>
      </c>
      <c r="F1" s="27" t="s">
        <v>286</v>
      </c>
      <c r="G1" s="27" t="s">
        <v>287</v>
      </c>
      <c r="H1" s="27" t="s">
        <v>288</v>
      </c>
      <c r="I1" s="27" t="s">
        <v>289</v>
      </c>
      <c r="J1" s="27" t="s">
        <v>290</v>
      </c>
    </row>
    <row r="2" spans="1:10" s="3" customFormat="1" x14ac:dyDescent="0.25">
      <c r="A2" s="3">
        <v>1</v>
      </c>
      <c r="B2" s="3" t="s">
        <v>291</v>
      </c>
      <c r="C2" s="3" t="s">
        <v>291</v>
      </c>
      <c r="D2" s="3" t="s">
        <v>291</v>
      </c>
      <c r="E2" s="3" t="s">
        <v>291</v>
      </c>
      <c r="F2" s="3" t="s">
        <v>291</v>
      </c>
      <c r="G2" s="3" t="s">
        <v>291</v>
      </c>
      <c r="H2" s="3" t="s">
        <v>291</v>
      </c>
      <c r="I2" s="3" t="s">
        <v>291</v>
      </c>
      <c r="J2" s="3" t="s">
        <v>291</v>
      </c>
    </row>
    <row r="3" spans="1:10" s="3" customFormat="1" x14ac:dyDescent="0.25">
      <c r="A3" s="3">
        <v>2</v>
      </c>
      <c r="B3" s="3" t="s">
        <v>292</v>
      </c>
      <c r="C3" s="3" t="s">
        <v>292</v>
      </c>
      <c r="D3" s="3" t="s">
        <v>292</v>
      </c>
      <c r="E3" s="3" t="s">
        <v>292</v>
      </c>
      <c r="F3" s="3" t="s">
        <v>292</v>
      </c>
      <c r="G3" s="3" t="s">
        <v>292</v>
      </c>
      <c r="H3" s="3" t="s">
        <v>292</v>
      </c>
      <c r="I3" s="3" t="s">
        <v>292</v>
      </c>
      <c r="J3" s="3" t="s">
        <v>292</v>
      </c>
    </row>
    <row r="4" spans="1:10" s="3" customFormat="1" x14ac:dyDescent="0.25">
      <c r="A4" s="3">
        <v>3</v>
      </c>
      <c r="B4" s="3" t="s">
        <v>110</v>
      </c>
      <c r="C4" s="3" t="s">
        <v>293</v>
      </c>
      <c r="D4" s="3" t="s">
        <v>294</v>
      </c>
      <c r="E4" s="3" t="s">
        <v>294</v>
      </c>
      <c r="F4" s="3" t="s">
        <v>295</v>
      </c>
      <c r="G4" s="3" t="s">
        <v>296</v>
      </c>
      <c r="H4" s="3" t="s">
        <v>297</v>
      </c>
      <c r="I4" s="3" t="s">
        <v>183</v>
      </c>
      <c r="J4" s="3" t="s">
        <v>298</v>
      </c>
    </row>
    <row r="5" spans="1:10" s="3" customFormat="1" x14ac:dyDescent="0.25">
      <c r="A5" s="3">
        <v>4</v>
      </c>
      <c r="B5" s="3" t="s">
        <v>110</v>
      </c>
      <c r="C5" s="3" t="s">
        <v>293</v>
      </c>
      <c r="D5" s="3" t="s">
        <v>299</v>
      </c>
      <c r="E5" s="3" t="s">
        <v>300</v>
      </c>
      <c r="F5" s="3" t="s">
        <v>295</v>
      </c>
      <c r="G5" s="3" t="s">
        <v>296</v>
      </c>
      <c r="H5" s="3" t="s">
        <v>297</v>
      </c>
      <c r="I5" s="3" t="s">
        <v>183</v>
      </c>
      <c r="J5" s="3" t="s">
        <v>298</v>
      </c>
    </row>
    <row r="6" spans="1:10" s="3" customFormat="1" x14ac:dyDescent="0.25">
      <c r="A6" s="3">
        <v>5</v>
      </c>
      <c r="B6" s="3" t="s">
        <v>301</v>
      </c>
      <c r="C6" s="3" t="s">
        <v>162</v>
      </c>
      <c r="D6" s="3" t="s">
        <v>162</v>
      </c>
      <c r="E6" s="3" t="s">
        <v>162</v>
      </c>
      <c r="F6" s="3" t="s">
        <v>302</v>
      </c>
      <c r="G6" s="3" t="s">
        <v>162</v>
      </c>
      <c r="H6" s="3" t="s">
        <v>162</v>
      </c>
      <c r="I6" s="3" t="s">
        <v>162</v>
      </c>
      <c r="J6" s="3" t="s">
        <v>162</v>
      </c>
    </row>
    <row r="7" spans="1:10" s="3" customFormat="1" x14ac:dyDescent="0.25">
      <c r="A7" s="3">
        <v>6</v>
      </c>
      <c r="B7" s="3" t="s">
        <v>303</v>
      </c>
      <c r="C7" s="3" t="s">
        <v>194</v>
      </c>
      <c r="D7" s="3" t="s">
        <v>304</v>
      </c>
      <c r="E7" s="3" t="s">
        <v>162</v>
      </c>
      <c r="F7" s="3" t="s">
        <v>305</v>
      </c>
      <c r="G7" s="3" t="s">
        <v>121</v>
      </c>
      <c r="H7" s="3" t="s">
        <v>195</v>
      </c>
      <c r="I7" s="3" t="s">
        <v>162</v>
      </c>
      <c r="J7" s="3" t="s">
        <v>306</v>
      </c>
    </row>
    <row r="8" spans="1:10" s="3" customFormat="1" x14ac:dyDescent="0.25">
      <c r="A8" s="3">
        <v>7</v>
      </c>
      <c r="B8" s="3" t="s">
        <v>303</v>
      </c>
      <c r="C8" s="3" t="s">
        <v>122</v>
      </c>
      <c r="D8" s="3" t="s">
        <v>307</v>
      </c>
      <c r="E8" s="3" t="s">
        <v>162</v>
      </c>
      <c r="F8" s="3" t="s">
        <v>308</v>
      </c>
      <c r="G8" s="3" t="s">
        <v>121</v>
      </c>
      <c r="H8" s="3" t="s">
        <v>123</v>
      </c>
      <c r="I8" s="3" t="s">
        <v>162</v>
      </c>
      <c r="J8" s="3" t="s">
        <v>309</v>
      </c>
    </row>
    <row r="9" spans="1:10" s="3" customFormat="1" x14ac:dyDescent="0.25">
      <c r="A9" s="3">
        <v>8</v>
      </c>
      <c r="B9" s="3" t="s">
        <v>310</v>
      </c>
      <c r="C9" s="3" t="s">
        <v>190</v>
      </c>
      <c r="D9" s="3" t="s">
        <v>162</v>
      </c>
      <c r="E9" s="3" t="s">
        <v>311</v>
      </c>
      <c r="F9" s="3" t="s">
        <v>312</v>
      </c>
      <c r="G9" s="3" t="s">
        <v>313</v>
      </c>
      <c r="H9" s="3" t="s">
        <v>162</v>
      </c>
      <c r="I9" s="3" t="s">
        <v>80</v>
      </c>
      <c r="J9" s="3" t="s">
        <v>314</v>
      </c>
    </row>
    <row r="10" spans="1:10" s="3" customFormat="1" x14ac:dyDescent="0.25">
      <c r="A10" s="3">
        <v>9</v>
      </c>
      <c r="B10" s="3" t="s">
        <v>315</v>
      </c>
      <c r="C10" s="3" t="s">
        <v>128</v>
      </c>
      <c r="D10" s="3" t="s">
        <v>162</v>
      </c>
      <c r="E10" s="3" t="s">
        <v>316</v>
      </c>
      <c r="F10" s="3" t="s">
        <v>317</v>
      </c>
      <c r="G10" s="3" t="s">
        <v>127</v>
      </c>
      <c r="H10" s="3" t="s">
        <v>162</v>
      </c>
      <c r="I10" s="3" t="s">
        <v>162</v>
      </c>
      <c r="J10" s="3" t="s">
        <v>318</v>
      </c>
    </row>
    <row r="11" spans="1:10" s="3" customFormat="1" x14ac:dyDescent="0.25">
      <c r="A11" s="3">
        <v>10</v>
      </c>
      <c r="B11" s="3" t="s">
        <v>319</v>
      </c>
      <c r="C11" s="3" t="s">
        <v>162</v>
      </c>
      <c r="D11" s="3" t="s">
        <v>162</v>
      </c>
      <c r="E11" s="3" t="s">
        <v>162</v>
      </c>
      <c r="F11" s="3" t="s">
        <v>317</v>
      </c>
      <c r="G11" s="3" t="s">
        <v>162</v>
      </c>
      <c r="H11" s="3" t="s">
        <v>162</v>
      </c>
      <c r="I11" s="3" t="s">
        <v>162</v>
      </c>
      <c r="J11" s="3" t="s">
        <v>162</v>
      </c>
    </row>
  </sheetData>
  <autoFilter ref="A1:J1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27" customFormat="1" x14ac:dyDescent="0.25">
      <c r="A1" s="27" t="s">
        <v>219</v>
      </c>
      <c r="B1" s="27" t="s">
        <v>282</v>
      </c>
      <c r="C1" s="27" t="s">
        <v>283</v>
      </c>
      <c r="D1" s="27" t="s">
        <v>284</v>
      </c>
      <c r="E1" s="27" t="s">
        <v>285</v>
      </c>
      <c r="F1" s="27" t="s">
        <v>286</v>
      </c>
      <c r="G1" s="27" t="s">
        <v>287</v>
      </c>
    </row>
    <row r="2" spans="1:7" s="3" customFormat="1" x14ac:dyDescent="0.25">
      <c r="A2" s="3">
        <v>1</v>
      </c>
      <c r="B2" s="3" t="s">
        <v>110</v>
      </c>
      <c r="C2" s="3" t="s">
        <v>293</v>
      </c>
      <c r="D2" s="3" t="s">
        <v>296</v>
      </c>
      <c r="E2" s="3" t="s">
        <v>115</v>
      </c>
      <c r="F2" s="3" t="s">
        <v>297</v>
      </c>
      <c r="G2" s="3" t="s">
        <v>183</v>
      </c>
    </row>
    <row r="3" spans="1:7" s="3" customFormat="1" x14ac:dyDescent="0.25">
      <c r="A3" s="3">
        <v>2</v>
      </c>
      <c r="B3" s="3" t="s">
        <v>303</v>
      </c>
      <c r="C3" s="3" t="s">
        <v>194</v>
      </c>
      <c r="D3" s="3" t="s">
        <v>121</v>
      </c>
      <c r="E3" s="3" t="s">
        <v>235</v>
      </c>
      <c r="F3" s="3" t="s">
        <v>195</v>
      </c>
      <c r="G3" s="3" t="s">
        <v>162</v>
      </c>
    </row>
    <row r="4" spans="1:7" s="3" customFormat="1" x14ac:dyDescent="0.25">
      <c r="A4" s="3">
        <v>3</v>
      </c>
      <c r="B4" s="3" t="s">
        <v>310</v>
      </c>
      <c r="C4" s="3" t="s">
        <v>190</v>
      </c>
      <c r="D4" s="3" t="s">
        <v>313</v>
      </c>
      <c r="E4" s="3" t="s">
        <v>236</v>
      </c>
      <c r="F4" s="3" t="s">
        <v>162</v>
      </c>
      <c r="G4" s="3" t="s">
        <v>80</v>
      </c>
    </row>
    <row r="5" spans="1:7" s="3" customFormat="1" x14ac:dyDescent="0.25">
      <c r="A5" s="3">
        <v>4</v>
      </c>
      <c r="B5" s="3" t="s">
        <v>315</v>
      </c>
      <c r="C5" s="3" t="s">
        <v>128</v>
      </c>
      <c r="D5" s="3" t="s">
        <v>127</v>
      </c>
      <c r="E5" s="3" t="s">
        <v>237</v>
      </c>
      <c r="F5" s="3" t="s">
        <v>162</v>
      </c>
      <c r="G5" s="3" t="s">
        <v>162</v>
      </c>
    </row>
  </sheetData>
  <autoFilter ref="A1:G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27" customFormat="1" x14ac:dyDescent="0.25">
      <c r="A1" s="27" t="s">
        <v>238</v>
      </c>
      <c r="B1" s="27" t="s">
        <v>320</v>
      </c>
      <c r="C1" s="27" t="s">
        <v>321</v>
      </c>
      <c r="D1" s="27" t="s">
        <v>322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5" customWidth="1"/>
    <col min="3" max="3" width="16" customWidth="1"/>
    <col min="4" max="4" width="20" customWidth="1"/>
    <col min="5" max="5" width="18" customWidth="1"/>
    <col min="6" max="6" width="17" customWidth="1"/>
    <col min="7" max="7" width="16" customWidth="1"/>
    <col min="8" max="8" width="17" customWidth="1"/>
    <col min="9" max="9" width="18" customWidth="1"/>
    <col min="10" max="10" width="24" customWidth="1"/>
    <col min="11" max="11" width="16" customWidth="1"/>
    <col min="12" max="12" width="22" customWidth="1"/>
    <col min="13" max="14" width="17" customWidth="1"/>
    <col min="15" max="15" width="33" customWidth="1"/>
    <col min="16" max="16" width="23" customWidth="1"/>
  </cols>
  <sheetData>
    <row r="1" ht="28" customHeight="1" spans="1:16" s="27" customFormat="1" x14ac:dyDescent="0.25">
      <c r="A1" s="27" t="s">
        <v>109</v>
      </c>
      <c r="B1" s="27" t="s">
        <v>323</v>
      </c>
      <c r="C1" s="27" t="s">
        <v>324</v>
      </c>
      <c r="D1" s="27" t="s">
        <v>325</v>
      </c>
      <c r="E1" s="27" t="s">
        <v>326</v>
      </c>
      <c r="F1" s="27" t="s">
        <v>327</v>
      </c>
      <c r="G1" s="27" t="s">
        <v>328</v>
      </c>
      <c r="H1" s="27" t="s">
        <v>329</v>
      </c>
      <c r="I1" s="27" t="s">
        <v>330</v>
      </c>
      <c r="J1" s="27" t="s">
        <v>331</v>
      </c>
      <c r="K1" s="27" t="s">
        <v>332</v>
      </c>
      <c r="L1" s="27" t="s">
        <v>333</v>
      </c>
      <c r="M1" s="27" t="s">
        <v>334</v>
      </c>
      <c r="N1" s="27" t="s">
        <v>335</v>
      </c>
      <c r="O1" s="27" t="s">
        <v>69</v>
      </c>
      <c r="P1" s="27" t="s">
        <v>336</v>
      </c>
    </row>
    <row r="2" spans="1:16" s="3" customFormat="1" x14ac:dyDescent="0.25">
      <c r="A2" s="3" t="s">
        <v>4</v>
      </c>
      <c r="B2" s="3" t="s">
        <v>337</v>
      </c>
      <c r="C2" s="3" t="s">
        <v>189</v>
      </c>
      <c r="D2" s="3">
        <v>3</v>
      </c>
      <c r="E2" s="3">
        <v>4</v>
      </c>
      <c r="F2" s="3">
        <v>1</v>
      </c>
      <c r="G2" s="3">
        <v>3</v>
      </c>
      <c r="H2" s="3">
        <v>1</v>
      </c>
      <c r="I2" s="3" t="s">
        <v>110</v>
      </c>
      <c r="J2" s="3" t="s">
        <v>338</v>
      </c>
      <c r="K2" s="3" t="s">
        <v>162</v>
      </c>
      <c r="L2" s="3" t="s">
        <v>162</v>
      </c>
      <c r="M2" s="3" t="s">
        <v>110</v>
      </c>
      <c r="N2" s="3" t="s">
        <v>339</v>
      </c>
      <c r="O2" s="3" t="s">
        <v>340</v>
      </c>
      <c r="P2" s="3" t="s">
        <v>341</v>
      </c>
    </row>
    <row r="3" spans="1:16" s="3" customFormat="1" x14ac:dyDescent="0.25">
      <c r="A3" s="3" t="s">
        <v>4</v>
      </c>
      <c r="B3" s="3" t="s">
        <v>337</v>
      </c>
      <c r="C3" s="3" t="s">
        <v>189</v>
      </c>
      <c r="D3" s="3">
        <v>3</v>
      </c>
      <c r="E3" s="3">
        <v>4</v>
      </c>
      <c r="F3" s="3">
        <v>2</v>
      </c>
      <c r="G3" s="3">
        <v>3</v>
      </c>
      <c r="H3" s="3">
        <v>2</v>
      </c>
      <c r="I3" s="3" t="s">
        <v>293</v>
      </c>
      <c r="J3" s="3" t="s">
        <v>342</v>
      </c>
      <c r="K3" s="3" t="s">
        <v>162</v>
      </c>
      <c r="L3" s="3" t="s">
        <v>162</v>
      </c>
      <c r="M3" s="3" t="s">
        <v>293</v>
      </c>
      <c r="N3" s="3" t="s">
        <v>343</v>
      </c>
      <c r="O3" s="3" t="s">
        <v>340</v>
      </c>
      <c r="P3" s="3" t="s">
        <v>341</v>
      </c>
    </row>
    <row r="4" spans="1:16" s="3" customFormat="1" x14ac:dyDescent="0.25">
      <c r="A4" s="3" t="s">
        <v>4</v>
      </c>
      <c r="B4" s="3" t="s">
        <v>337</v>
      </c>
      <c r="C4" s="3" t="s">
        <v>189</v>
      </c>
      <c r="D4" s="3">
        <v>3</v>
      </c>
      <c r="E4" s="3">
        <v>4</v>
      </c>
      <c r="F4" s="3">
        <v>3</v>
      </c>
      <c r="G4" s="3">
        <v>4</v>
      </c>
      <c r="H4" s="3">
        <v>3</v>
      </c>
      <c r="I4" s="3" t="s">
        <v>299</v>
      </c>
      <c r="J4" s="3" t="s">
        <v>162</v>
      </c>
      <c r="K4" s="3" t="s">
        <v>294</v>
      </c>
      <c r="L4" s="3" t="s">
        <v>344</v>
      </c>
      <c r="M4" s="3" t="s">
        <v>299</v>
      </c>
      <c r="N4" s="3" t="s">
        <v>345</v>
      </c>
      <c r="O4" s="3" t="s">
        <v>340</v>
      </c>
      <c r="P4" s="3" t="s">
        <v>341</v>
      </c>
    </row>
    <row r="5" spans="1:16" s="3" customFormat="1" x14ac:dyDescent="0.25">
      <c r="A5" s="3" t="s">
        <v>4</v>
      </c>
      <c r="B5" s="3" t="s">
        <v>337</v>
      </c>
      <c r="C5" s="3" t="s">
        <v>189</v>
      </c>
      <c r="D5" s="3">
        <v>3</v>
      </c>
      <c r="E5" s="3">
        <v>4</v>
      </c>
      <c r="F5" s="3">
        <v>4</v>
      </c>
      <c r="G5" s="3">
        <v>4</v>
      </c>
      <c r="H5" s="3">
        <v>4</v>
      </c>
      <c r="I5" s="3" t="s">
        <v>300</v>
      </c>
      <c r="J5" s="3" t="s">
        <v>162</v>
      </c>
      <c r="K5" s="3" t="s">
        <v>294</v>
      </c>
      <c r="L5" s="3" t="s">
        <v>344</v>
      </c>
      <c r="M5" s="3" t="s">
        <v>300</v>
      </c>
      <c r="N5" s="3" t="s">
        <v>346</v>
      </c>
      <c r="O5" s="3" t="s">
        <v>340</v>
      </c>
      <c r="P5" s="3" t="s">
        <v>341</v>
      </c>
    </row>
    <row r="6" spans="1:16" s="3" customFormat="1" x14ac:dyDescent="0.25">
      <c r="A6" s="3" t="s">
        <v>4</v>
      </c>
      <c r="B6" s="3" t="s">
        <v>337</v>
      </c>
      <c r="C6" s="3" t="s">
        <v>189</v>
      </c>
      <c r="D6" s="3">
        <v>3</v>
      </c>
      <c r="E6" s="3">
        <v>4</v>
      </c>
      <c r="F6" s="3">
        <v>5</v>
      </c>
      <c r="G6" s="3">
        <v>3</v>
      </c>
      <c r="H6" s="3">
        <v>5</v>
      </c>
      <c r="I6" s="3" t="s">
        <v>295</v>
      </c>
      <c r="J6" s="3" t="s">
        <v>347</v>
      </c>
      <c r="K6" s="3" t="s">
        <v>162</v>
      </c>
      <c r="L6" s="3" t="s">
        <v>162</v>
      </c>
      <c r="M6" s="3" t="s">
        <v>295</v>
      </c>
      <c r="N6" s="3" t="s">
        <v>162</v>
      </c>
      <c r="O6" s="3" t="s">
        <v>340</v>
      </c>
      <c r="P6" s="3" t="s">
        <v>341</v>
      </c>
    </row>
    <row r="7" spans="1:16" s="3" customFormat="1" x14ac:dyDescent="0.25">
      <c r="A7" s="3" t="s">
        <v>4</v>
      </c>
      <c r="B7" s="3" t="s">
        <v>337</v>
      </c>
      <c r="C7" s="3" t="s">
        <v>189</v>
      </c>
      <c r="D7" s="3">
        <v>3</v>
      </c>
      <c r="E7" s="3">
        <v>4</v>
      </c>
      <c r="F7" s="3">
        <v>6</v>
      </c>
      <c r="G7" s="3">
        <v>3</v>
      </c>
      <c r="H7" s="3">
        <v>6</v>
      </c>
      <c r="I7" s="3" t="s">
        <v>296</v>
      </c>
      <c r="J7" s="3" t="s">
        <v>348</v>
      </c>
      <c r="K7" s="3" t="s">
        <v>162</v>
      </c>
      <c r="L7" s="3" t="s">
        <v>162</v>
      </c>
      <c r="M7" s="3" t="s">
        <v>296</v>
      </c>
      <c r="N7" s="3" t="s">
        <v>162</v>
      </c>
      <c r="O7" s="3" t="s">
        <v>340</v>
      </c>
      <c r="P7" s="3" t="s">
        <v>341</v>
      </c>
    </row>
    <row r="8" spans="1:16" s="3" customFormat="1" x14ac:dyDescent="0.25">
      <c r="A8" s="3" t="s">
        <v>4</v>
      </c>
      <c r="B8" s="3" t="s">
        <v>337</v>
      </c>
      <c r="C8" s="3" t="s">
        <v>189</v>
      </c>
      <c r="D8" s="3">
        <v>3</v>
      </c>
      <c r="E8" s="3">
        <v>4</v>
      </c>
      <c r="F8" s="3">
        <v>7</v>
      </c>
      <c r="G8" s="3">
        <v>3</v>
      </c>
      <c r="H8" s="3">
        <v>7</v>
      </c>
      <c r="I8" s="3" t="s">
        <v>297</v>
      </c>
      <c r="J8" s="3" t="s">
        <v>349</v>
      </c>
      <c r="K8" s="3" t="s">
        <v>162</v>
      </c>
      <c r="L8" s="3" t="s">
        <v>162</v>
      </c>
      <c r="M8" s="3" t="s">
        <v>297</v>
      </c>
      <c r="N8" s="3" t="s">
        <v>162</v>
      </c>
      <c r="O8" s="3" t="s">
        <v>340</v>
      </c>
      <c r="P8" s="3" t="s">
        <v>341</v>
      </c>
    </row>
    <row r="9" spans="1:16" s="3" customFormat="1" x14ac:dyDescent="0.25">
      <c r="A9" s="3" t="s">
        <v>4</v>
      </c>
      <c r="B9" s="3" t="s">
        <v>337</v>
      </c>
      <c r="C9" s="3" t="s">
        <v>189</v>
      </c>
      <c r="D9" s="3">
        <v>3</v>
      </c>
      <c r="E9" s="3">
        <v>4</v>
      </c>
      <c r="F9" s="3">
        <v>8</v>
      </c>
      <c r="G9" s="3">
        <v>3</v>
      </c>
      <c r="H9" s="3">
        <v>8</v>
      </c>
      <c r="I9" s="3" t="s">
        <v>183</v>
      </c>
      <c r="J9" s="3" t="s">
        <v>350</v>
      </c>
      <c r="K9" s="3" t="s">
        <v>162</v>
      </c>
      <c r="L9" s="3" t="s">
        <v>162</v>
      </c>
      <c r="M9" s="3" t="s">
        <v>183</v>
      </c>
      <c r="N9" s="3" t="s">
        <v>162</v>
      </c>
      <c r="O9" s="3" t="s">
        <v>340</v>
      </c>
      <c r="P9" s="3" t="s">
        <v>341</v>
      </c>
    </row>
    <row r="10" spans="1:16" s="3" customFormat="1" x14ac:dyDescent="0.25">
      <c r="A10" s="3" t="s">
        <v>4</v>
      </c>
      <c r="B10" s="3" t="s">
        <v>337</v>
      </c>
      <c r="C10" s="3" t="s">
        <v>189</v>
      </c>
      <c r="D10" s="3">
        <v>3</v>
      </c>
      <c r="E10" s="3">
        <v>4</v>
      </c>
      <c r="F10" s="3">
        <v>9</v>
      </c>
      <c r="G10" s="3">
        <v>3</v>
      </c>
      <c r="H10" s="3">
        <v>9</v>
      </c>
      <c r="I10" s="3" t="s">
        <v>298</v>
      </c>
      <c r="J10" s="3" t="s">
        <v>351</v>
      </c>
      <c r="K10" s="3" t="s">
        <v>162</v>
      </c>
      <c r="L10" s="3" t="s">
        <v>162</v>
      </c>
      <c r="M10" s="3" t="s">
        <v>298</v>
      </c>
      <c r="N10" s="3" t="s">
        <v>162</v>
      </c>
      <c r="O10" s="3" t="s">
        <v>340</v>
      </c>
      <c r="P10" s="3" t="s">
        <v>341</v>
      </c>
    </row>
  </sheetData>
  <autoFilter ref="A1:P10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27" customFormat="1" x14ac:dyDescent="0.25">
      <c r="A1" s="27" t="s">
        <v>352</v>
      </c>
      <c r="B1" s="27" t="s">
        <v>353</v>
      </c>
    </row>
    <row r="2" spans="1:2" s="3" customFormat="1" x14ac:dyDescent="0.25">
      <c r="A2" s="3" t="s">
        <v>354</v>
      </c>
      <c r="B2" s="3" t="s">
        <v>355</v>
      </c>
    </row>
    <row r="3" spans="1:2" s="3" customFormat="1" x14ac:dyDescent="0.25">
      <c r="A3" s="3" t="s">
        <v>356</v>
      </c>
      <c r="B3" s="3" t="s">
        <v>337</v>
      </c>
    </row>
    <row r="4" spans="1:2" s="3" customFormat="1" x14ac:dyDescent="0.25">
      <c r="A4" s="3" t="s">
        <v>357</v>
      </c>
      <c r="B4" s="3" t="s">
        <v>358</v>
      </c>
    </row>
    <row r="5" spans="1:2" s="3" customFormat="1" x14ac:dyDescent="0.25">
      <c r="A5" s="3" t="s">
        <v>359</v>
      </c>
      <c r="B5" s="4">
        <v>46295.50164354166</v>
      </c>
    </row>
    <row r="6" spans="1:2" s="3" customFormat="1" x14ac:dyDescent="0.25">
      <c r="A6" s="3" t="s">
        <v>360</v>
      </c>
      <c r="B6" s="3" t="s">
        <v>361</v>
      </c>
    </row>
    <row r="7" spans="1:2" s="3" customFormat="1" x14ac:dyDescent="0.25">
      <c r="A7" s="3" t="s">
        <v>362</v>
      </c>
      <c r="B7" s="3" t="s">
        <v>363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Numeric Cell Origins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XLSX Header Provenance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2026-09-30T12:02:22Z</dcterms:created>
  <dcterms:modified xsi:type="dcterms:W3CDTF">2026-09-30T12:02:22Z</dcterms:modified>
</cp:coreProperties>
</file>