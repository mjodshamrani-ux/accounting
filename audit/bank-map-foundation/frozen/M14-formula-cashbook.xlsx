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<sst xmlns="http://schemas.openxmlformats.org/spreadsheetml/2006/main" count="44" uniqueCount="44">
  <si>
    <t>Date</t>
  </si>
  <si>
    <t>Voucher</t>
  </si>
  <si>
    <t>Internal ID</t>
  </si>
  <si>
    <t>Description</t>
  </si>
  <si>
    <t>Reference</t>
  </si>
  <si>
    <t>Receipts</t>
  </si>
  <si>
    <t>Payments</t>
  </si>
  <si>
    <t>Balance</t>
  </si>
  <si>
    <t>2026-11-01</t>
  </si>
  <si>
    <t>BR-02N01</t>
  </si>
  <si>
    <t>Receipt from customer</t>
  </si>
  <si>
    <t>RCV-02N01</t>
  </si>
  <si>
    <t>2026-11-05</t>
  </si>
  <si>
    <t>PV-Q02-51</t>
  </si>
  <si>
    <t>Payment voucher</t>
  </si>
  <si>
    <t>INV-Q02-501</t>
  </si>
  <si>
    <t>2026-11-09</t>
  </si>
  <si>
    <t>RV-Q02-52</t>
  </si>
  <si>
    <t>Receipt voucher</t>
  </si>
  <si>
    <t>INV-Q02-502</t>
  </si>
  <si>
    <t>2026-11-10</t>
  </si>
  <si>
    <t>BR-02N02</t>
  </si>
  <si>
    <t>RCV-02N02</t>
  </si>
  <si>
    <t>2026-11-11</t>
  </si>
  <si>
    <t>RV-Q02-53</t>
  </si>
  <si>
    <t>RCV-Q02-503</t>
  </si>
  <si>
    <t>2026-11-14</t>
  </si>
  <si>
    <t>PV-Q02-54</t>
  </si>
  <si>
    <t>CHQ-Q02-504</t>
  </si>
  <si>
    <t>2026-11-18</t>
  </si>
  <si>
    <t>BR-02N03</t>
  </si>
  <si>
    <t>RCV-02N03</t>
  </si>
  <si>
    <t>2026-11-19</t>
  </si>
  <si>
    <t>PV-Q02-55</t>
  </si>
  <si>
    <t>2026-11-22</t>
  </si>
  <si>
    <t>RV-Q02-01</t>
  </si>
  <si>
    <t>Counter receipt</t>
  </si>
  <si>
    <t>RV-Q02-02</t>
  </si>
  <si>
    <t>2026-11-24</t>
  </si>
  <si>
    <t>RV-Q02-03</t>
  </si>
  <si>
    <t>2026-11-27</t>
  </si>
  <si>
    <t>BP-02N04</t>
  </si>
  <si>
    <t>Payment to supplier</t>
  </si>
  <si>
    <t>PAY-02N04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</si>
</sst>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FormatPr defaultRowHeight="15"/>
  <cols>
    <col min="3" max="3" width="0" hidden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400100</v>
      </c>
      <c r="D2" t="s">
        <v>10</v>
      </c>
      <c r="E2" t="s">
        <v>11</v>
      </c>
      <c r="F2">
        <v>9727.22</v>
      </c>
      <c r="H2">
        <f>250000.00+F2-G2</f>
        <v>259727.22</v>
      </c>
    </row>
    <row r="3">
      <c r="A3" t="s">
        <v>12</v>
      </c>
      <c r="B3" t="s">
        <v>13</v>
      </c>
      <c r="C3">
        <v>400101</v>
      </c>
      <c r="D3" t="s">
        <v>14</v>
      </c>
      <c r="E3" t="s">
        <v>15</v>
      </c>
      <c r="G3">
        <f>ROUND(310,2)</f>
        <v>310</v>
      </c>
      <c r="H3">
        <f>H2+F3-G3</f>
        <v>259417.22</v>
      </c>
    </row>
    <row r="4">
      <c r="A4" t="s">
        <v>16</v>
      </c>
      <c r="B4" t="s">
        <v>17</v>
      </c>
      <c r="C4">
        <v>400102</v>
      </c>
      <c r="D4" t="s">
        <v>18</v>
      </c>
      <c r="E4" t="s">
        <v>19</v>
      </c>
      <c r="F4">
        <v>450</v>
      </c>
      <c r="H4">
        <f>H3+F4-G4</f>
        <v>259867.22</v>
      </c>
    </row>
    <row r="5">
      <c r="A5" t="s">
        <v>20</v>
      </c>
      <c r="B5" t="s">
        <v>21</v>
      </c>
      <c r="C5">
        <v>400103</v>
      </c>
      <c r="D5" t="s">
        <v>10</v>
      </c>
      <c r="E5" t="s">
        <v>22</v>
      </c>
      <c r="F5">
        <v>20988.73</v>
      </c>
      <c r="H5">
        <f>H4+F5-G5</f>
        <v>280855.95</v>
      </c>
    </row>
    <row r="6">
      <c r="A6" t="s">
        <v>23</v>
      </c>
      <c r="B6" t="s">
        <v>24</v>
      </c>
      <c r="C6">
        <v>400104</v>
      </c>
      <c r="D6" t="s">
        <v>18</v>
      </c>
      <c r="E6" t="s">
        <v>25</v>
      </c>
      <c r="F6">
        <v>599.5</v>
      </c>
      <c r="H6">
        <f>H5+F6-G6</f>
        <v>281455.45</v>
      </c>
    </row>
    <row r="7">
      <c r="A7" t="s">
        <v>26</v>
      </c>
      <c r="B7" t="s">
        <v>27</v>
      </c>
      <c r="C7">
        <v>400105</v>
      </c>
      <c r="D7" t="s">
        <v>14</v>
      </c>
      <c r="E7" t="s">
        <v>28</v>
      </c>
      <c r="G7">
        <v>200</v>
      </c>
      <c r="H7">
        <f>H6+F7-G7</f>
        <v>281255.45</v>
      </c>
    </row>
    <row r="8">
      <c r="A8" t="s">
        <v>29</v>
      </c>
      <c r="B8" t="s">
        <v>30</v>
      </c>
      <c r="C8">
        <v>400106</v>
      </c>
      <c r="D8" t="s">
        <v>10</v>
      </c>
      <c r="E8" t="s">
        <v>31</v>
      </c>
      <c r="F8">
        <v>26168.71</v>
      </c>
      <c r="H8">
        <f>H7+F8-G8</f>
        <v>307424.16</v>
      </c>
    </row>
    <row r="9">
      <c r="A9" t="s">
        <v>32</v>
      </c>
      <c r="B9" t="s">
        <v>33</v>
      </c>
      <c r="C9">
        <v>400107</v>
      </c>
      <c r="D9" t="s">
        <v>14</v>
      </c>
      <c r="G9">
        <v>150</v>
      </c>
      <c r="H9">
        <f>H8+F9-G9</f>
        <v>307274.16</v>
      </c>
    </row>
    <row r="10">
      <c r="A10" t="s">
        <v>34</v>
      </c>
      <c r="B10" t="s">
        <v>35</v>
      </c>
      <c r="C10">
        <v>400108</v>
      </c>
      <c r="D10" t="s">
        <v>36</v>
      </c>
      <c r="F10">
        <v>29371.34</v>
      </c>
      <c r="H10">
        <f>H9+F10-G10</f>
        <v>336645.5</v>
      </c>
    </row>
    <row r="11">
      <c r="A11" t="s">
        <v>34</v>
      </c>
      <c r="B11" t="s">
        <v>37</v>
      </c>
      <c r="C11">
        <v>400109</v>
      </c>
      <c r="D11" t="s">
        <v>36</v>
      </c>
      <c r="F11">
        <v>26332.77</v>
      </c>
      <c r="H11">
        <f>H10+F11-G11</f>
        <v>362978.27</v>
      </c>
    </row>
    <row r="12">
      <c r="A12" t="s">
        <v>38</v>
      </c>
      <c r="B12" t="s">
        <v>39</v>
      </c>
      <c r="C12">
        <v>400110</v>
      </c>
      <c r="D12" t="s">
        <v>36</v>
      </c>
      <c r="F12">
        <v>37442.33</v>
      </c>
      <c r="H12">
        <f>H11+F12-G12</f>
        <v>400420.6</v>
      </c>
    </row>
    <row r="13">
      <c r="A13" t="s">
        <v>40</v>
      </c>
      <c r="B13" t="s">
        <v>41</v>
      </c>
      <c r="C13">
        <v>400111</v>
      </c>
      <c r="D13" t="s">
        <v>42</v>
      </c>
      <c r="E13" t="s">
        <v>43</v>
      </c>
      <c r="G13">
        <v>12992.98</v>
      </c>
      <c r="H13">
        <f>H12+F13-G13</f>
        <v>387427.62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