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<sst xmlns="http://schemas.openxmlformats.org/spreadsheetml/2006/main" count="769" uniqueCount="303">
  <si>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</si>
  <si>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</si>
  <si>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</si>
  <si>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</si>
  <si>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</si>
  <si>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مورد Supplier</t>
  </si>
  <si>
    <t>Entity</t>
  </si>
  <si>
    <t>Entity جهة</t>
  </si>
  <si>
    <t>Currency</t>
  </si>
  <si>
    <t>JPY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</si>
  <si>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</si>
  <si>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</si>
  <si>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</si>
  <si>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</si>
  <si>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</si>
  <si>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</si>
  <si>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</si>
  <si>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</si>
  <si>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</si>
  <si>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</si>
  <si>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</si>
  <si>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AP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</si>
  <si>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</si>
  <si>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</si>
  <si>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</si>
  <si>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</si>
  <si>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</si>
  <si>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</si>
  <si>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</si>
  <si>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</si>
  <si>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</si>
  <si>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</si>
  <si>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</si>
  <si>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</si>
  <si>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</si>
  <si>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</si>
  <si>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</si>
  <si>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</si>
  <si>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</si>
  <si>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</si>
  <si>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</si>
  <si>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</si>
  <si>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</si>
  <si>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</si>
  <si>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</si>
  <si>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</si>
  <si>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</si>
  <si>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</si>
  <si>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</si>
  <si>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</si>
  <si>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</si>
  <si>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</si>
  <si>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</si>
  <si>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</si>
  <si>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</si>
  <si>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</si>
  <si>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</si>
  <si>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</si>
  <si>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</si>
  <si>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</si>
  <si>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</si>
  <si>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</si>
  <si>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</si>
  <si>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</si>
  <si>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</si>
  <si>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</si>
  <si>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</si>
  <si>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</si>
  <si>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</si>
  <si>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</si>
  <si>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</si>
  <si>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</si>
  <si>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</si>
  <si>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</si>
  <si>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</si>
  <si>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</si>
  <si>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CASE-96BDED64</t>
  </si>
  <si>
    <t>1:1</t>
  </si>
  <si>
    <t>فاتورة-100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</si>
  <si>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</si>
  <si>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</si>
  <si>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</si>
  <si>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</si>
  <si>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</si>
  <si>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Data بيانات · row 2</t>
  </si>
  <si>
    <t>ledger · Data بيانات · row 2</t>
  </si>
  <si>
    <t>CASE-559DBAD4</t>
  </si>
  <si>
    <t>فاتورة-101</t>
  </si>
  <si>
    <t>supplier · Data بيانات · row 3</t>
  </si>
  <si>
    <t>ledger · Data بيانات · row 3</t>
  </si>
  <si>
    <t>CASE-3E7CA55A</t>
  </si>
  <si>
    <t>فاتورة-104</t>
  </si>
  <si>
    <t>supplier · Data بيانات · row 6</t>
  </si>
  <si>
    <t>ledger · Data بيانات · row 6</t>
  </si>
  <si>
    <t>CASE-364B6CC4</t>
  </si>
  <si>
    <t>فاتورة-105</t>
  </si>
  <si>
    <t>supplier · Data بيانات · row 7</t>
  </si>
  <si>
    <t>ledger · Data بيانات · row 7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</si>
  <si>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</si>
  <si>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</si>
  <si>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</si>
  <si>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</si>
  <si>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</si>
  <si>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</si>
  <si>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</si>
  <si>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</si>
  <si>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</si>
  <si>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</si>
  <si>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</si>
  <si>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</si>
  <si>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</si>
  <si>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</si>
  <si>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</si>
  <si>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</si>
  <si>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</si>
  <si>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</si>
  <si>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</si>
  <si>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</si>
  <si>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CASE-6CF7BFA1</t>
  </si>
  <si>
    <t>supplier</t>
  </si>
  <si>
    <t>Unknown</t>
  </si>
  <si>
    <t>فاتورة-102</t>
  </si>
  <si>
    <t>العربية English 2 =SUM(A1:A2)</t>
  </si>
  <si>
    <t>مستند المورد فاتورة-102 بمبلغ 0 JPY: لا يوجد مقابل دفتر يستوفي قواعد المطابقة أو حالة مراجعة مثبتة.</t>
  </si>
  <si>
    <t>supplier · Data بيانات · row 4</t>
  </si>
  <si>
    <t>CASE-643479F5</t>
  </si>
  <si>
    <t>فاتورة-103</t>
  </si>
  <si>
    <t>العربية English 3 =SUM(A1:A2)</t>
  </si>
  <si>
    <t>مستند المورد فاتورة-103 بمبلغ 123,456 JPY: لا يوجد مقابل دفتر يستوفي قواعد المطابقة أو حالة مراجعة مثبتة.</t>
  </si>
  <si>
    <t>supplier · Data بيانات · row 5</t>
  </si>
  <si>
    <t>CASE-E996E544</t>
  </si>
  <si>
    <t>ledger</t>
  </si>
  <si>
    <t>مستند الدفتر فاتورة-102 بمبلغ 0 JPY: لا يوجد مقابل مورد يستوفي قواعد المطابقة أو حالة مراجعة مثبتة.</t>
  </si>
  <si>
    <t>ledger · Data بيانات · row 4</t>
  </si>
  <si>
    <t>CASE-8998544B</t>
  </si>
  <si>
    <t>OTHER-900</t>
  </si>
  <si>
    <t>مستند الدفتر OTHER-900 بمبلغ 123,456 JPY: لا يوجد مقابل مورد يستوفي قواعد المطابقة أو حالة مراجعة مثبتة.</t>
  </si>
  <si>
    <t>ledger · Data بيانات · row 5</t>
  </si>
  <si>
    <t>Adjustment From Supplier to Ledger</t>
  </si>
  <si>
    <t>Explanation</t>
  </si>
  <si>
    <t>Review Status</t>
  </si>
  <si>
    <t>Supporting Source</t>
  </si>
  <si>
    <t>SUPPLIER_ONLY</t>
  </si>
  <si>
    <t>Unmatched</t>
  </si>
  <si>
    <t>1 source rows · CASE-643479F5</t>
  </si>
  <si>
    <t>LEDGER_ONLY</t>
  </si>
  <si>
    <t>1 source rows · CASE-8998544B</t>
  </si>
  <si>
    <t>Balance bridge prerequisites are incomplete. Case adjustments above are transaction effects only.</t>
  </si>
  <si>
    <t>Reviewer Name</t>
  </si>
  <si>
    <t>مراجع Reviewer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</si>
  <si>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</si>
  <si>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</si>
  <si>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</si>
  <si>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</si>
  <si>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</si>
  <si>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</si>
  <si>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</si>
  <si>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</si>
  <si>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@SUM(A1:A2)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</si>
  <si>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</si>
  <si>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</si>
  <si>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</si>
  <si>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</si>
  <si>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</si>
  <si>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</si>
  <si>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</si>
  <si>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</si>
  <si>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</si>
  <si>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</si>
  <si>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</si>
  <si>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</si>
  <si>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</si>
  <si>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supplier:0:3 | ledger:0:3</t>
  </si>
  <si>
    <t>supplier:0:6 | ledger:0:6</t>
  </si>
  <si>
    <t>supplier:0:7 | ledger:0:7</t>
  </si>
  <si>
    <t>NO_REFERENCE_CANDIDATE</t>
  </si>
  <si>
    <t>لا يوجد مرجع مقابل في الملف المقدم. هذا لا يثبت غياب المستند عن النظام المحاسبي.</t>
  </si>
  <si>
    <t>supplier:0:5</t>
  </si>
  <si>
    <t>NO_SUPPLIER_COUNTERPART</t>
  </si>
  <si>
    <t>لم يُعثر في الملفات المقدمة على حركة مورد تصلح مقابلًا لهذه الحركة.</t>
  </si>
  <si>
    <t>ledger:0:4</t>
  </si>
  <si>
    <t>ledger:0:5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</si>
  <si>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</si>
  <si>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</si>
  <si>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</si>
  <si>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</si>
  <si>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</si>
  <si>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</si>
  <si>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</si>
  <si>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</si>
  <si>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</si>
  <si>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</si>
  <si>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</si>
  <si>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</si>
  <si>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supplier:0:2</t>
  </si>
  <si>
    <t>Data بيانات</t>
  </si>
  <si>
    <t>ledger:0:2</t>
  </si>
  <si>
    <t>supplier:0:3</t>
  </si>
  <si>
    <t>ledger:0:3</t>
  </si>
  <si>
    <t>supplier:0:6</t>
  </si>
  <si>
    <t>ledger:0:6</t>
  </si>
  <si>
    <t>supplier:0:7</t>
  </si>
  <si>
    <t>ledger:0:7</t>
  </si>
  <si>
    <t>NO_VIABLE_LEDGER_COUNTERPART</t>
  </si>
  <si>
    <t>supplier:0:4</t>
  </si>
  <si>
    <t>NO_VIABLE_SUPPLIER_COUNTERPART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</si>
  <si>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</si>
  <si>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</si>
  <si>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</si>
  <si>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</si>
  <si>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</si>
  <si>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</si>
  <si>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</si>
  <si>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</si>
  <si>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</si>
  <si>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</si>
  <si>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</si>
  <si>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</si>
  <si>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</si>
  <si>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فاتورة100</t>
  </si>
  <si>
    <t>العربية English 0 =SUM(A1:A2)</t>
  </si>
  <si>
    <t xml:space="preserve">1 | </t>
  </si>
  <si>
    <t>فاتورة101</t>
  </si>
  <si>
    <t>العربية English 1 =SUM(A1:A2)</t>
  </si>
  <si>
    <t xml:space="preserve"> | 1</t>
  </si>
  <si>
    <t>فاتورة102</t>
  </si>
  <si>
    <t xml:space="preserve">0 | </t>
  </si>
  <si>
    <t>فاتورة103</t>
  </si>
  <si>
    <t xml:space="preserve">123456 | </t>
  </si>
  <si>
    <t>فاتورة104</t>
  </si>
  <si>
    <t>العربية English 4 =SUM(A1:A2)</t>
  </si>
  <si>
    <t xml:space="preserve"> | 987654</t>
  </si>
  <si>
    <t>فاتورة105</t>
  </si>
  <si>
    <t>العربية English 5 =SUM(A1:A2)</t>
  </si>
  <si>
    <t xml:space="preserve">99999999999999 | </t>
  </si>
  <si>
    <t>OTHER900</t>
  </si>
  <si>
    <t>الطرف</t>
  </si>
  <si>
    <t>سبب الاستبعاد</t>
  </si>
  <si>
    <t>المحتوى</t>
  </si>
  <si>
    <t>المورد</t>
  </si>
  <si>
    <t>صف العناوين المؤكد</t>
  </si>
  <si>
    <t>["date","reference","amount","debit","credit","description"]</t>
  </si>
  <si>
    <t>الدفتر</t>
  </si>
  <si>
    <t>الحقل</t>
  </si>
  <si>
    <t>القيمة</t>
  </si>
  <si>
    <t>Scope</t>
  </si>
  <si>
    <t>{"supplier":"مورد Supplier","entity":"Entity جهة","account":"AP","currency":"JPY","decimals":0,"cutoff":"2026-08-31","dateWindow":2,"confirmed":true,"coverageConfirmed":false}</t>
  </si>
  <si>
    <t>Supplier mapping</t>
  </si>
  <si>
    <t>{"sheet":0,"header":0,"date":0,"reference":1,"description":5,"amount":2,"debit":3,"credit":4,"currencyColumn":-1,"mode":"split","multiplier":1,"numberFormat":"dot","dateFormat":"ymd","reportType":"transactions","opening":"","closing":"","periodStart":"","excluded":{}}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</si>
  <si>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</si>
  <si>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</si>
  <si>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</si>
  <si>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</si>
  <si>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</si>
  <si>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</si>
  <si>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</si>
  <si>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</si>
  <si>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</si>
  <si>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</si>
  <si>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</si>
  <si>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{"supplier:0:4":["ledger:0:4"],"supplier:0:5":[]}</t>
  </si>
  <si>
    <t>Supplier filename</t>
  </si>
  <si>
    <t>source.csv</t>
  </si>
  <si>
    <t>Ledger filename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</si>
  <si>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</si>
  <si>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</si>
  <si>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</si>
  <si>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</si>
  <si>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</si>
  <si>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</si>
  <si>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</si>
  <si>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</si>
  <si>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</si>
  <si>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</si>
  <si>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date</t>
  </si>
  <si>
    <t>reference</t>
  </si>
  <si>
    <t>amount</t>
  </si>
  <si>
    <t>debit</t>
  </si>
  <si>
    <t>credit</t>
  </si>
  <si>
    <t>description</t>
  </si>
  <si>
    <t>2026-08-01</t>
  </si>
  <si>
    <t>1</t>
  </si>
  <si>
    <t>-1</t>
  </si>
  <si>
    <t>0</t>
  </si>
  <si>
    <t>123456</t>
  </si>
  <si>
    <t>-987654</t>
  </si>
  <si>
    <t>987654</t>
  </si>
  <si>
    <t>99999999999999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</si>
  <si>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</si>
  <si>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</si>
  <si>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</si>
  <si>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</si>
  <si>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</si>
  <si>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</si>
  <si>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0.3.10-experimental</t>
  </si>
  <si>
    <t>Supplier SHA-256</t>
  </si>
  <si>
    <t>No original file</t>
  </si>
  <si>
    <t>Ledger SHA-256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</si>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</sst>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3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3" fontId="0" fillId="0" borderId="0" xfId="0" applyNumberFormat="1"/>
    <xf numFmtId="3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3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164" fontId="0" fillId="4" borderId="0" xfId="0" applyNumberFormat="1" applyFill="1" applyAlignment="1">
      <alignment vertical="top" wrapText="1" readingOrder="1"/>
    </xf>
    <xf numFmtId="3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3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3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5" borderId="0" xfId="0" applyFont="1" applyFill="1"/>
    <xf numFmtId="3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5" TargetMode="External"/><Relationship Id="rId2" Type="http://schemas.openxmlformats.org/officeDocument/2006/relationships/hyperlink" Target="#&apos;Parsed Supplier Source&apos;!A6" TargetMode="External"/><Relationship Id="rId3" Type="http://schemas.openxmlformats.org/officeDocument/2006/relationships/hyperlink" Target="#&apos;Parsed Ledger Source&apos;!A5" TargetMode="External"/><Relationship Id="rId4" Type="http://schemas.openxmlformats.org/officeDocument/2006/relationships/hyperlink" Target="#&apos;Parsed Ledger Source&apos;!A6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Unmatched&apos;!A3" TargetMode="External"/><Relationship Id="rId2" Type="http://schemas.openxmlformats.org/officeDocument/2006/relationships/hyperlink" Target="#&apos;Unmatched&apos;!A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Relationship Id="rId3" Type="http://schemas.openxmlformats.org/officeDocument/2006/relationships/hyperlink" Target="#&apos;Parsed Supplier Source&apos;!A4" TargetMode="External"/><Relationship Id="rId4" Type="http://schemas.openxmlformats.org/officeDocument/2006/relationships/hyperlink" Target="#&apos;Parsed Ledger Source&apos;!A4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7" TargetMode="External"/><Relationship Id="rId7" Type="http://schemas.openxmlformats.org/officeDocument/2006/relationships/hyperlink" Target="#&apos;Parsed Supplier Source&apos;!A8" TargetMode="External"/><Relationship Id="rId8" Type="http://schemas.openxmlformats.org/officeDocument/2006/relationships/hyperlink" Target="#&apos;Parsed Ledger Source&apos;!A8" TargetMode="External"/><Relationship Id="rId9" Type="http://schemas.openxmlformats.org/officeDocument/2006/relationships/hyperlink" Target="#&apos;Parsed Supplier Source&apos;!A5" TargetMode="External"/><Relationship Id="rId10" Type="http://schemas.openxmlformats.org/officeDocument/2006/relationships/hyperlink" Target="#&apos;Parsed Supplier Source&apos;!A6" TargetMode="External"/><Relationship Id="rId11" Type="http://schemas.openxmlformats.org/officeDocument/2006/relationships/hyperlink" Target="#&apos;Parsed Ledger Source&apos;!A5" TargetMode="External"/><Relationship Id="rId12" Type="http://schemas.openxmlformats.org/officeDocument/2006/relationships/hyperlink" Target="#&apos;Parsed Ledger Source&apos;!A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46265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16</v>
      </c>
    </row>
    <row r="13" ht="30" customHeight="1" spans="1:2" s="3" customFormat="1" x14ac:dyDescent="0.25">
      <c r="A13" s="3" t="s">
        <v>18</v>
      </c>
      <c r="B13" s="3"/>
    </row>
    <row r="14" ht="30" customHeight="1" spans="1:2" s="3" customFormat="1" x14ac:dyDescent="0.25">
      <c r="A14" s="3" t="s">
        <v>19</v>
      </c>
      <c r="B14" s="3"/>
    </row>
    <row r="15" ht="30" customHeight="1" spans="1:2" s="3" customFormat="1" x14ac:dyDescent="0.25">
      <c r="A15" s="3" t="s">
        <v>20</v>
      </c>
      <c r="B15" s="3" t="s">
        <v>21</v>
      </c>
    </row>
    <row r="16" ht="30" customHeight="1" spans="1:2" s="3" customFormat="1" x14ac:dyDescent="0.25">
      <c r="A16" s="3" t="s">
        <v>22</v>
      </c>
      <c r="B16" s="3" t="s">
        <v>23</v>
      </c>
    </row>
    <row r="17" ht="30" customHeight="1" spans="1:2" s="3" customFormat="1" x14ac:dyDescent="0.25">
      <c r="A17" s="3" t="s">
        <v>24</v>
      </c>
      <c r="B17" s="5"/>
    </row>
    <row r="18" ht="30" customHeight="1" spans="1:2" s="3" customFormat="1" x14ac:dyDescent="0.25">
      <c r="A18" s="3" t="s">
        <v>25</v>
      </c>
      <c r="B18" s="5"/>
    </row>
    <row r="19" ht="30" customHeight="1" spans="1:2" s="3" customFormat="1" x14ac:dyDescent="0.25">
      <c r="A19" s="3" t="s">
        <v>26</v>
      </c>
      <c r="B19" s="5"/>
    </row>
    <row r="20" ht="30" customHeight="1" spans="1:2" s="3" customFormat="1" x14ac:dyDescent="0.25">
      <c r="A20" s="3" t="s">
        <v>27</v>
      </c>
      <c r="B20" s="5"/>
    </row>
    <row r="21" ht="30" customHeight="1" spans="1:2" s="3" customFormat="1" x14ac:dyDescent="0.25">
      <c r="A21" s="3" t="s">
        <v>28</v>
      </c>
      <c r="B21" s="5"/>
    </row>
    <row r="22" ht="30" customHeight="1" spans="1:2" s="3" customFormat="1" x14ac:dyDescent="0.25">
      <c r="A22" s="3" t="s">
        <v>29</v>
      </c>
      <c r="B22" s="5"/>
    </row>
    <row r="23" ht="30" customHeight="1" spans="1:2" s="3" customFormat="1" x14ac:dyDescent="0.25">
      <c r="A23" s="3" t="s">
        <v>30</v>
      </c>
      <c r="B23" s="3" t="s">
        <v>31</v>
      </c>
    </row>
    <row r="24" ht="30" customHeight="1" spans="1:2" s="3" customFormat="1" x14ac:dyDescent="0.25">
      <c r="A24" s="3" t="s">
        <v>32</v>
      </c>
      <c r="B24" s="3" t="s">
        <v>31</v>
      </c>
    </row>
    <row r="25" ht="30" customHeight="1" spans="1:2" s="3" customFormat="1" x14ac:dyDescent="0.25">
      <c r="A25" s="3" t="s">
        <v>33</v>
      </c>
      <c r="B25" s="3" t="s">
        <v>34</v>
      </c>
    </row>
    <row r="26" ht="30" customHeight="1" spans="1:2" s="3" customFormat="1" x14ac:dyDescent="0.25">
      <c r="A26" s="3" t="s">
        <v>35</v>
      </c>
      <c r="B26" s="3" t="s">
        <v>34</v>
      </c>
    </row>
    <row r="27" ht="30" customHeight="1" spans="1:2" s="3" customFormat="1" x14ac:dyDescent="0.25">
      <c r="A27" s="3" t="s">
        <v>36</v>
      </c>
      <c r="B27" s="3" t="s">
        <v>37</v>
      </c>
    </row>
    <row r="28" ht="30" customHeight="1" spans="1:2" s="3" customFormat="1" x14ac:dyDescent="0.25">
      <c r="A28" s="3" t="s">
        <v>38</v>
      </c>
      <c r="B28" s="6">
        <f>COUNTIF('Matches'!Q2:Q5,"Auto")</f>
        <v>4</v>
      </c>
    </row>
    <row r="29" ht="30" customHeight="1" spans="1:2" s="3" customFormat="1" x14ac:dyDescent="0.25">
      <c r="A29" s="3" t="s">
        <v>39</v>
      </c>
      <c r="B29" s="6">
        <f>SUM('Matches'!O2:P5)</f>
        <v>8</v>
      </c>
    </row>
    <row r="30" ht="30" customHeight="1" spans="1:2" s="3" customFormat="1" x14ac:dyDescent="0.25">
      <c r="A30" s="3" t="s">
        <v>40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41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42</v>
      </c>
      <c r="B32" s="6">
        <f>COUNTA('Unmatched'!A2:A5)</f>
        <v>4</v>
      </c>
    </row>
    <row r="33" ht="30" customHeight="1" spans="1:2" s="3" customFormat="1" x14ac:dyDescent="0.25">
      <c r="A33" s="3" t="s">
        <v>43</v>
      </c>
      <c r="B33" s="6">
        <f>SUM('Unmatched'!K2:K5)</f>
        <v>4</v>
      </c>
    </row>
    <row r="34" ht="30" customHeight="1" spans="1:2" s="3" customFormat="1" x14ac:dyDescent="0.25">
      <c r="A34" s="3" t="s">
        <v>44</v>
      </c>
      <c r="B34" s="3">
        <f>COUNTIF('Matches'!Q2:Q5,"Manual")</f>
        <v>0</v>
      </c>
    </row>
    <row r="35" ht="30" customHeight="1" spans="1:2" s="3" customFormat="1" x14ac:dyDescent="0.25">
      <c r="A35" s="3" t="s">
        <v>45</v>
      </c>
      <c r="B35" s="3">
        <f>COUNTIF('Needs Review'!M2:M2,"Rejected")</f>
        <v>0</v>
      </c>
    </row>
    <row r="36" ht="30" customHeight="1" spans="1:2" s="3" customFormat="1" x14ac:dyDescent="0.25">
      <c r="A36" s="3" t="s">
        <v>46</v>
      </c>
      <c r="B36" s="5">
        <f>'Reconciliation Bridge'!E5</f>
        <v>0</v>
      </c>
    </row>
    <row r="37" ht="30" customHeight="1" spans="1:2" s="3" customFormat="1" x14ac:dyDescent="0.25">
      <c r="A37" s="3" t="s">
        <v>47</v>
      </c>
      <c r="B37" s="5"/>
    </row>
    <row r="38" ht="30" customHeight="1" spans="1:2" s="3" customFormat="1" x14ac:dyDescent="0.25">
      <c r="A38" s="3" t="s">
        <v>48</v>
      </c>
      <c r="B38" s="5"/>
    </row>
    <row r="39" ht="30" customHeight="1" spans="1:2" s="3" customFormat="1" x14ac:dyDescent="0.25">
      <c r="A39" s="3" t="s">
        <v>49</v>
      </c>
      <c r="B39" s="3" t="s">
        <v>50</v>
      </c>
    </row>
    <row r="40" ht="30" customHeight="1" spans="1:2" s="3" customFormat="1" x14ac:dyDescent="0.25">
      <c r="A40" s="3" t="s">
        <v>51</v>
      </c>
      <c r="B40" s="6" t="s">
        <v>52</v>
      </c>
    </row>
    <row r="41" ht="30" customHeight="1" spans="1:2" s="3" customFormat="1" x14ac:dyDescent="0.25">
      <c r="A41" s="3" t="s">
        <v>53</v>
      </c>
      <c r="B41" s="3" t="s">
        <v>54</v>
      </c>
    </row>
    <row r="42" ht="30" customHeight="1" spans="1:2" s="3" customFormat="1" x14ac:dyDescent="0.25">
      <c r="A42" s="3" t="s">
        <v>55</v>
      </c>
      <c r="B42" s="3" t="s">
        <v>56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57</v>
      </c>
      <c r="B1" s="2" t="s">
        <v>58</v>
      </c>
      <c r="C1" s="2" t="s">
        <v>59</v>
      </c>
      <c r="D1" s="2" t="s">
        <v>60</v>
      </c>
      <c r="E1" s="8" t="s">
        <v>61</v>
      </c>
      <c r="F1" s="2" t="s">
        <v>62</v>
      </c>
      <c r="G1" s="2" t="s">
        <v>63</v>
      </c>
      <c r="H1" s="8" t="s">
        <v>64</v>
      </c>
      <c r="I1" s="2" t="s">
        <v>65</v>
      </c>
      <c r="J1" s="2" t="s">
        <v>66</v>
      </c>
      <c r="K1" s="2" t="s">
        <v>67</v>
      </c>
      <c r="L1" s="2" t="s">
        <v>68</v>
      </c>
      <c r="M1" s="2" t="s">
        <v>69</v>
      </c>
      <c r="N1" s="2" t="s">
        <v>70</v>
      </c>
      <c r="O1" s="2" t="s">
        <v>71</v>
      </c>
      <c r="P1" s="2" t="s">
        <v>72</v>
      </c>
      <c r="Q1" s="2" t="s">
        <v>73</v>
      </c>
      <c r="R1" s="2" t="s">
        <v>74</v>
      </c>
      <c r="S1" s="2" t="s">
        <v>75</v>
      </c>
    </row>
    <row r="2" ht="42" customHeight="1" spans="1:19" s="9" customFormat="1" x14ac:dyDescent="0.25">
      <c r="A2" s="10" t="s">
        <v>76</v>
      </c>
      <c r="B2" s="10" t="s">
        <v>77</v>
      </c>
      <c r="C2" s="11">
        <v>46235</v>
      </c>
      <c r="D2" s="10" t="s">
        <v>78</v>
      </c>
      <c r="E2" s="12">
        <v>1</v>
      </c>
      <c r="F2" s="11">
        <v>46235</v>
      </c>
      <c r="G2" s="10" t="s">
        <v>78</v>
      </c>
      <c r="H2" s="12">
        <v>1</v>
      </c>
      <c r="I2" s="10" t="s">
        <v>79</v>
      </c>
      <c r="J2" s="10">
        <v>0</v>
      </c>
      <c r="K2" s="10" t="s">
        <v>80</v>
      </c>
      <c r="L2" s="10" t="s">
        <v>81</v>
      </c>
      <c r="M2" s="10" t="s">
        <v>82</v>
      </c>
      <c r="N2" s="9"/>
      <c r="O2" s="10">
        <v>1</v>
      </c>
      <c r="P2" s="10">
        <v>1</v>
      </c>
      <c r="Q2" s="10" t="s">
        <v>83</v>
      </c>
      <c r="R2" s="13" t="s">
        <v>84</v>
      </c>
      <c r="S2" s="13" t="s">
        <v>85</v>
      </c>
    </row>
    <row r="3" ht="42" customHeight="1" spans="1:19" s="9" customFormat="1" x14ac:dyDescent="0.25">
      <c r="A3" s="10" t="s">
        <v>86</v>
      </c>
      <c r="B3" s="10" t="s">
        <v>77</v>
      </c>
      <c r="C3" s="11">
        <v>46235</v>
      </c>
      <c r="D3" s="10" t="s">
        <v>87</v>
      </c>
      <c r="E3" s="12">
        <v>-1</v>
      </c>
      <c r="F3" s="11">
        <v>46235</v>
      </c>
      <c r="G3" s="10" t="s">
        <v>87</v>
      </c>
      <c r="H3" s="12">
        <v>-1</v>
      </c>
      <c r="I3" s="10" t="s">
        <v>79</v>
      </c>
      <c r="J3" s="10">
        <v>0</v>
      </c>
      <c r="K3" s="10" t="s">
        <v>80</v>
      </c>
      <c r="L3" s="10" t="s">
        <v>81</v>
      </c>
      <c r="M3" s="10" t="s">
        <v>82</v>
      </c>
      <c r="N3" s="9"/>
      <c r="O3" s="10">
        <v>1</v>
      </c>
      <c r="P3" s="10">
        <v>1</v>
      </c>
      <c r="Q3" s="10" t="s">
        <v>83</v>
      </c>
      <c r="R3" s="13" t="s">
        <v>88</v>
      </c>
      <c r="S3" s="13" t="s">
        <v>89</v>
      </c>
    </row>
    <row r="4" ht="42" customHeight="1" spans="1:19" s="9" customFormat="1" x14ac:dyDescent="0.25">
      <c r="A4" s="10" t="s">
        <v>90</v>
      </c>
      <c r="B4" s="10" t="s">
        <v>77</v>
      </c>
      <c r="C4" s="11">
        <v>46235</v>
      </c>
      <c r="D4" s="10" t="s">
        <v>91</v>
      </c>
      <c r="E4" s="12">
        <v>-987654</v>
      </c>
      <c r="F4" s="11">
        <v>46235</v>
      </c>
      <c r="G4" s="10" t="s">
        <v>91</v>
      </c>
      <c r="H4" s="12">
        <v>-987654</v>
      </c>
      <c r="I4" s="10" t="s">
        <v>79</v>
      </c>
      <c r="J4" s="10">
        <v>0</v>
      </c>
      <c r="K4" s="10" t="s">
        <v>80</v>
      </c>
      <c r="L4" s="10" t="s">
        <v>81</v>
      </c>
      <c r="M4" s="10" t="s">
        <v>82</v>
      </c>
      <c r="N4" s="9"/>
      <c r="O4" s="10">
        <v>1</v>
      </c>
      <c r="P4" s="10">
        <v>1</v>
      </c>
      <c r="Q4" s="10" t="s">
        <v>83</v>
      </c>
      <c r="R4" s="13" t="s">
        <v>92</v>
      </c>
      <c r="S4" s="13" t="s">
        <v>93</v>
      </c>
    </row>
    <row r="5" ht="42" customHeight="1" spans="1:19" s="9" customFormat="1" x14ac:dyDescent="0.25">
      <c r="A5" s="10" t="s">
        <v>94</v>
      </c>
      <c r="B5" s="10" t="s">
        <v>77</v>
      </c>
      <c r="C5" s="11">
        <v>46235</v>
      </c>
      <c r="D5" s="10" t="s">
        <v>95</v>
      </c>
      <c r="E5" s="12">
        <v>99999999999999</v>
      </c>
      <c r="F5" s="11">
        <v>46235</v>
      </c>
      <c r="G5" s="10" t="s">
        <v>95</v>
      </c>
      <c r="H5" s="12">
        <v>99999999999999</v>
      </c>
      <c r="I5" s="10" t="s">
        <v>79</v>
      </c>
      <c r="J5" s="10">
        <v>0</v>
      </c>
      <c r="K5" s="10" t="s">
        <v>80</v>
      </c>
      <c r="L5" s="10" t="s">
        <v>81</v>
      </c>
      <c r="M5" s="10" t="s">
        <v>82</v>
      </c>
      <c r="N5" s="9"/>
      <c r="O5" s="10">
        <v>1</v>
      </c>
      <c r="P5" s="10">
        <v>1</v>
      </c>
      <c r="Q5" s="10" t="s">
        <v>83</v>
      </c>
      <c r="R5" s="13" t="s">
        <v>96</v>
      </c>
      <c r="S5" s="13" t="s">
        <v>97</v>
      </c>
    </row>
  </sheetData>
  <autoFilter ref="A1:S5"/>
  <hyperlinks>
    <hyperlink ref="R2" r:id="rId1" location="#'Parsed Supplier Source'!A3"/>
    <hyperlink ref="S2" r:id="rId2" location="#'Parsed Ledger Source'!A3"/>
    <hyperlink ref="R3" r:id="rId3" location="#'Parsed Supplier Source'!A4"/>
    <hyperlink ref="S3" r:id="rId4" location="#'Parsed Ledger Source'!A4"/>
    <hyperlink ref="R4" r:id="rId5" location="#'Parsed Supplier Source'!A7"/>
    <hyperlink ref="S4" r:id="rId6" location="#'Parsed Ledger Source'!A7"/>
    <hyperlink ref="R5" r:id="rId7" location="#'Parsed Supplier Source'!A8"/>
    <hyperlink ref="S5" r:id="rId8" location="#'Parsed Ledg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57</v>
      </c>
      <c r="B1" s="2" t="s">
        <v>98</v>
      </c>
      <c r="C1" s="2" t="s">
        <v>99</v>
      </c>
      <c r="D1" s="2" t="s">
        <v>100</v>
      </c>
      <c r="E1" s="8" t="s">
        <v>101</v>
      </c>
      <c r="F1" s="8" t="s">
        <v>102</v>
      </c>
      <c r="G1" s="8" t="s">
        <v>103</v>
      </c>
      <c r="H1" s="2" t="s">
        <v>68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69</v>
      </c>
      <c r="N1" s="2" t="s">
        <v>71</v>
      </c>
      <c r="O1" s="2" t="s">
        <v>72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8" t="s">
        <v>114</v>
      </c>
      <c r="I1" s="2" t="s">
        <v>115</v>
      </c>
      <c r="J1" s="2" t="s">
        <v>116</v>
      </c>
      <c r="K1" s="2" t="s">
        <v>117</v>
      </c>
    </row>
    <row r="2" ht="42" customHeight="1" spans="1:11" s="14" customFormat="1" x14ac:dyDescent="0.25">
      <c r="A2" s="15" t="s">
        <v>118</v>
      </c>
      <c r="B2" s="15" t="s">
        <v>119</v>
      </c>
      <c r="C2" s="16">
        <v>46235</v>
      </c>
      <c r="D2" s="15" t="s">
        <v>120</v>
      </c>
      <c r="E2" s="15" t="s">
        <v>121</v>
      </c>
      <c r="F2" s="14"/>
      <c r="G2" s="15" t="s">
        <v>122</v>
      </c>
      <c r="H2" s="17">
        <v>0</v>
      </c>
      <c r="I2" s="15" t="s">
        <v>123</v>
      </c>
      <c r="J2" s="18" t="s">
        <v>124</v>
      </c>
      <c r="K2" s="15">
        <v>1</v>
      </c>
    </row>
    <row r="3" ht="42" customHeight="1" spans="1:11" s="14" customFormat="1" x14ac:dyDescent="0.25">
      <c r="A3" s="15" t="s">
        <v>125</v>
      </c>
      <c r="B3" s="15" t="s">
        <v>119</v>
      </c>
      <c r="C3" s="16">
        <v>46235</v>
      </c>
      <c r="D3" s="15" t="s">
        <v>120</v>
      </c>
      <c r="E3" s="15" t="s">
        <v>126</v>
      </c>
      <c r="F3" s="14"/>
      <c r="G3" s="15" t="s">
        <v>127</v>
      </c>
      <c r="H3" s="17">
        <v>123456</v>
      </c>
      <c r="I3" s="15" t="s">
        <v>128</v>
      </c>
      <c r="J3" s="18" t="s">
        <v>129</v>
      </c>
      <c r="K3" s="15">
        <v>1</v>
      </c>
    </row>
    <row r="4" ht="42" customHeight="1" spans="1:11" s="14" customFormat="1" x14ac:dyDescent="0.25">
      <c r="A4" s="15" t="s">
        <v>130</v>
      </c>
      <c r="B4" s="15" t="s">
        <v>131</v>
      </c>
      <c r="C4" s="16">
        <v>46235</v>
      </c>
      <c r="D4" s="15" t="s">
        <v>120</v>
      </c>
      <c r="E4" s="15" t="s">
        <v>121</v>
      </c>
      <c r="F4" s="14"/>
      <c r="G4" s="15" t="s">
        <v>122</v>
      </c>
      <c r="H4" s="17">
        <v>0</v>
      </c>
      <c r="I4" s="15" t="s">
        <v>132</v>
      </c>
      <c r="J4" s="18" t="s">
        <v>133</v>
      </c>
      <c r="K4" s="15">
        <v>1</v>
      </c>
    </row>
    <row r="5" ht="42" customHeight="1" spans="1:11" s="14" customFormat="1" x14ac:dyDescent="0.25">
      <c r="A5" s="15" t="s">
        <v>134</v>
      </c>
      <c r="B5" s="15" t="s">
        <v>131</v>
      </c>
      <c r="C5" s="16">
        <v>46235</v>
      </c>
      <c r="D5" s="15" t="s">
        <v>120</v>
      </c>
      <c r="E5" s="15" t="s">
        <v>135</v>
      </c>
      <c r="F5" s="14"/>
      <c r="G5" s="15" t="s">
        <v>127</v>
      </c>
      <c r="H5" s="17">
        <v>123456</v>
      </c>
      <c r="I5" s="15" t="s">
        <v>136</v>
      </c>
      <c r="J5" s="18" t="s">
        <v>137</v>
      </c>
      <c r="K5" s="15">
        <v>1</v>
      </c>
    </row>
  </sheetData>
  <autoFilter ref="A1:K5"/>
  <hyperlinks>
    <hyperlink ref="J2" r:id="rId1" location="#'Parsed Supplier Source'!A5"/>
    <hyperlink ref="J3" r:id="rId2" location="#'Parsed Supplier Source'!A6"/>
    <hyperlink ref="J4" r:id="rId3" location="#'Parsed Ledger Source'!A5"/>
    <hyperlink ref="J5" r:id="rId4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57</v>
      </c>
      <c r="B1" s="2" t="s">
        <v>98</v>
      </c>
      <c r="C1" s="8" t="s">
        <v>61</v>
      </c>
      <c r="D1" s="8" t="s">
        <v>64</v>
      </c>
      <c r="E1" s="8" t="s">
        <v>138</v>
      </c>
      <c r="F1" s="2" t="s">
        <v>139</v>
      </c>
      <c r="G1" s="2" t="s">
        <v>140</v>
      </c>
      <c r="H1" s="2" t="s">
        <v>141</v>
      </c>
    </row>
    <row r="2" ht="42" customHeight="1" spans="1:8" x14ac:dyDescent="0.25">
      <c r="A2" s="3" t="s">
        <v>125</v>
      </c>
      <c r="B2" s="3" t="s">
        <v>142</v>
      </c>
      <c r="C2" s="19">
        <v>123456</v>
      </c>
      <c r="D2" s="19">
        <v>0</v>
      </c>
      <c r="E2" s="19">
        <v>-123456</v>
      </c>
      <c r="F2" s="3" t="s">
        <v>128</v>
      </c>
      <c r="G2" s="3" t="s">
        <v>143</v>
      </c>
      <c r="H2" s="20" t="s">
        <v>144</v>
      </c>
    </row>
    <row r="3" ht="42" customHeight="1" spans="1:8" x14ac:dyDescent="0.25">
      <c r="A3" s="3" t="s">
        <v>134</v>
      </c>
      <c r="B3" s="3" t="s">
        <v>145</v>
      </c>
      <c r="C3" s="19">
        <v>0</v>
      </c>
      <c r="D3" s="19">
        <v>123456</v>
      </c>
      <c r="E3" s="19">
        <v>123456</v>
      </c>
      <c r="F3" s="3" t="s">
        <v>136</v>
      </c>
      <c r="G3" s="3" t="s">
        <v>143</v>
      </c>
      <c r="H3" s="20" t="s">
        <v>146</v>
      </c>
    </row>
    <row r="5" ht="32" customHeight="1" spans="4:5" x14ac:dyDescent="0.25">
      <c r="D5" s="21" t="s">
        <v>46</v>
      </c>
      <c r="E5" s="7">
        <f>SUM(E2:E3)</f>
        <v>0</v>
      </c>
    </row>
    <row r="6" ht="32" customHeight="1" spans="4:5" x14ac:dyDescent="0.25">
      <c r="D6" s="21" t="s">
        <v>26</v>
      </c>
      <c r="E6" s="7"/>
    </row>
    <row r="7" ht="32" customHeight="1" spans="4:5" x14ac:dyDescent="0.25">
      <c r="D7" s="21" t="s">
        <v>47</v>
      </c>
      <c r="E7" s="7"/>
    </row>
    <row r="8" ht="32" customHeight="1" spans="4:5" x14ac:dyDescent="0.25">
      <c r="D8" s="21" t="s">
        <v>27</v>
      </c>
      <c r="E8" s="7"/>
    </row>
    <row r="9" ht="32" customHeight="1" spans="4:5" x14ac:dyDescent="0.25">
      <c r="D9" s="21" t="s">
        <v>48</v>
      </c>
      <c r="E9" s="7"/>
    </row>
    <row r="11" spans="1:8" x14ac:dyDescent="0.25">
      <c r="A11" s="22" t="s">
        <v>147</v>
      </c>
      <c r="B11" s="22"/>
      <c r="C11" s="22"/>
      <c r="D11" s="22"/>
      <c r="E11" s="22"/>
      <c r="F11" s="22"/>
      <c r="G11" s="22"/>
      <c r="H11" s="22"/>
    </row>
    <row r="12" spans="1:8" x14ac:dyDescent="0.25">
      <c r="A12" s="22"/>
      <c r="B12" s="22"/>
      <c r="C12" s="22"/>
      <c r="D12" s="22"/>
      <c r="E12" s="22"/>
      <c r="F12" s="22"/>
      <c r="G12" s="22"/>
      <c r="H12" s="22"/>
    </row>
  </sheetData>
  <autoFilter ref="A1:H3"/>
  <mergeCells count="1">
    <mergeCell ref="A11:H12"/>
  </mergeCells>
  <hyperlinks>
    <hyperlink ref="H2" r:id="rId1" location="#'Unmatched'!A3"/>
    <hyperlink ref="H3" r:id="rId2" location="#'Unmatched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148</v>
      </c>
      <c r="B2" s="3" t="s">
        <v>149</v>
      </c>
    </row>
    <row r="3" ht="42" customHeight="1" spans="1:2" x14ac:dyDescent="0.25">
      <c r="A3" s="3" t="s">
        <v>150</v>
      </c>
    </row>
    <row r="4" ht="42" customHeight="1" spans="1:2" x14ac:dyDescent="0.25">
      <c r="A4" s="3" t="s">
        <v>151</v>
      </c>
      <c r="B4" s="3" t="s">
        <v>152</v>
      </c>
    </row>
    <row r="5" ht="42" customHeight="1" spans="1:2" x14ac:dyDescent="0.25">
      <c r="A5" s="3" t="s">
        <v>153</v>
      </c>
      <c r="B5" s="3" t="s">
        <v>154</v>
      </c>
    </row>
    <row r="6" ht="42" customHeight="1" spans="1:2" x14ac:dyDescent="0.25">
      <c r="A6" s="3" t="s">
        <v>155</v>
      </c>
      <c r="B6" s="3" t="s">
        <v>156</v>
      </c>
    </row>
    <row r="7" ht="42" customHeight="1" spans="1:2" x14ac:dyDescent="0.25">
      <c r="A7" s="3" t="s">
        <v>157</v>
      </c>
      <c r="B7" s="3" t="s">
        <v>158</v>
      </c>
    </row>
    <row r="8" ht="42" customHeight="1" spans="1:2" x14ac:dyDescent="0.25">
      <c r="A8" s="3" t="s">
        <v>2</v>
      </c>
      <c r="B8" s="3" t="s">
        <v>159</v>
      </c>
    </row>
    <row r="9" ht="42" customHeight="1" spans="1:2" x14ac:dyDescent="0.25">
      <c r="A9" s="3" t="s">
        <v>160</v>
      </c>
      <c r="B9" s="20" t="s">
        <v>161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3" customFormat="1" x14ac:dyDescent="0.25">
      <c r="A1" s="23" t="s">
        <v>162</v>
      </c>
      <c r="B1" s="23" t="s">
        <v>163</v>
      </c>
      <c r="C1" s="23" t="s">
        <v>164</v>
      </c>
    </row>
    <row r="2" spans="1:3" s="3" customFormat="1" x14ac:dyDescent="0.25">
      <c r="A2" s="3" t="s">
        <v>31</v>
      </c>
      <c r="B2" s="3" t="s">
        <v>165</v>
      </c>
      <c r="C2" s="3" t="s">
        <v>166</v>
      </c>
    </row>
    <row r="3" spans="1:3" s="3" customFormat="1" x14ac:dyDescent="0.25">
      <c r="A3" s="3" t="s">
        <v>37</v>
      </c>
      <c r="B3" s="3" t="s">
        <v>167</v>
      </c>
      <c r="C3" s="3" t="s">
        <v>166</v>
      </c>
    </row>
    <row r="4" spans="1:3" s="3" customFormat="1" x14ac:dyDescent="0.25">
      <c r="A4" s="3" t="s">
        <v>31</v>
      </c>
      <c r="B4" s="3" t="s">
        <v>168</v>
      </c>
      <c r="C4" s="3" t="s">
        <v>166</v>
      </c>
    </row>
    <row r="5" spans="1:3" s="3" customFormat="1" x14ac:dyDescent="0.25">
      <c r="A5" s="3" t="s">
        <v>37</v>
      </c>
      <c r="B5" s="3" t="s">
        <v>169</v>
      </c>
      <c r="C5" s="3" t="s">
        <v>166</v>
      </c>
    </row>
    <row r="6" spans="1:3" s="3" customFormat="1" x14ac:dyDescent="0.25">
      <c r="A6" s="3" t="s">
        <v>170</v>
      </c>
      <c r="B6" s="3" t="s">
        <v>81</v>
      </c>
      <c r="C6" s="3" t="s">
        <v>171</v>
      </c>
    </row>
    <row r="7" spans="1:3" s="3" customFormat="1" x14ac:dyDescent="0.25">
      <c r="A7" s="3" t="s">
        <v>170</v>
      </c>
      <c r="B7" s="3" t="s">
        <v>81</v>
      </c>
      <c r="C7" s="3" t="s">
        <v>172</v>
      </c>
    </row>
    <row r="8" spans="1:3" s="3" customFormat="1" x14ac:dyDescent="0.25">
      <c r="A8" s="3" t="s">
        <v>170</v>
      </c>
      <c r="B8" s="3" t="s">
        <v>81</v>
      </c>
      <c r="C8" s="3" t="s">
        <v>173</v>
      </c>
    </row>
    <row r="9" spans="1:3" s="3" customFormat="1" x14ac:dyDescent="0.25">
      <c r="A9" s="3" t="s">
        <v>170</v>
      </c>
      <c r="B9" s="3" t="s">
        <v>81</v>
      </c>
      <c r="C9" s="3" t="s">
        <v>174</v>
      </c>
    </row>
    <row r="10" spans="1:3" s="3" customFormat="1" x14ac:dyDescent="0.25">
      <c r="A10" s="3" t="s">
        <v>175</v>
      </c>
      <c r="B10" s="3" t="s">
        <v>176</v>
      </c>
      <c r="C10" s="3" t="s">
        <v>177</v>
      </c>
    </row>
    <row r="11" spans="1:3" s="3" customFormat="1" x14ac:dyDescent="0.25">
      <c r="A11" s="3" t="s">
        <v>178</v>
      </c>
      <c r="B11" s="3" t="s">
        <v>179</v>
      </c>
      <c r="C11" s="3" t="s">
        <v>180</v>
      </c>
    </row>
    <row r="12" spans="1:3" s="3" customFormat="1" x14ac:dyDescent="0.25">
      <c r="A12" s="3" t="s">
        <v>178</v>
      </c>
      <c r="B12" s="3" t="s">
        <v>179</v>
      </c>
      <c r="C12" s="3" t="s">
        <v>181</v>
      </c>
    </row>
  </sheetData>
  <autoFilter ref="A1:C1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</cols>
  <sheetData>
    <row r="1" ht="28" customHeight="1" spans="1:22" s="23" customFormat="1" x14ac:dyDescent="0.25">
      <c r="A1" s="23" t="s">
        <v>57</v>
      </c>
      <c r="B1" s="23" t="s">
        <v>98</v>
      </c>
      <c r="C1" s="23" t="s">
        <v>69</v>
      </c>
      <c r="D1" s="23" t="s">
        <v>67</v>
      </c>
      <c r="E1" s="23" t="s">
        <v>68</v>
      </c>
      <c r="F1" s="23" t="s">
        <v>108</v>
      </c>
      <c r="G1" s="23" t="s">
        <v>182</v>
      </c>
      <c r="H1" s="23" t="s">
        <v>183</v>
      </c>
      <c r="I1" s="23" t="s">
        <v>184</v>
      </c>
      <c r="J1" s="23" t="s">
        <v>185</v>
      </c>
      <c r="K1" s="23" t="s">
        <v>109</v>
      </c>
      <c r="L1" s="23" t="s">
        <v>186</v>
      </c>
      <c r="M1" s="23" t="s">
        <v>187</v>
      </c>
      <c r="N1" s="23" t="s">
        <v>188</v>
      </c>
      <c r="O1" s="23" t="s">
        <v>189</v>
      </c>
      <c r="P1" s="23" t="s">
        <v>190</v>
      </c>
      <c r="Q1" s="23" t="s">
        <v>191</v>
      </c>
      <c r="R1" s="23" t="s">
        <v>8</v>
      </c>
      <c r="S1" s="24" t="s">
        <v>114</v>
      </c>
      <c r="T1" s="23" t="s">
        <v>116</v>
      </c>
      <c r="U1" s="23" t="s">
        <v>192</v>
      </c>
      <c r="V1" s="23" t="s">
        <v>193</v>
      </c>
    </row>
    <row r="2" spans="1:22" s="3" customFormat="1" x14ac:dyDescent="0.25">
      <c r="A2" s="3" t="s">
        <v>76</v>
      </c>
      <c r="B2" s="3" t="s">
        <v>170</v>
      </c>
      <c r="C2" s="3" t="s">
        <v>82</v>
      </c>
      <c r="D2" s="3" t="s">
        <v>80</v>
      </c>
      <c r="E2" s="3" t="s">
        <v>81</v>
      </c>
      <c r="F2" s="3" t="s">
        <v>119</v>
      </c>
      <c r="G2" s="3" t="s">
        <v>194</v>
      </c>
      <c r="H2" s="3" t="s">
        <v>195</v>
      </c>
      <c r="I2" s="3">
        <v>2</v>
      </c>
      <c r="J2" s="3" t="s">
        <v>166</v>
      </c>
      <c r="K2" s="4">
        <v>46235</v>
      </c>
      <c r="L2" s="3" t="s">
        <v>78</v>
      </c>
      <c r="M2" s="3" t="s">
        <v>166</v>
      </c>
      <c r="N2" s="3" t="s">
        <v>166</v>
      </c>
      <c r="O2" s="3" t="s">
        <v>166</v>
      </c>
      <c r="P2" s="3" t="s">
        <v>166</v>
      </c>
      <c r="Q2" s="3" t="s">
        <v>166</v>
      </c>
      <c r="R2" s="3" t="s">
        <v>9</v>
      </c>
      <c r="S2" s="19">
        <v>1</v>
      </c>
      <c r="T2" s="3" t="s">
        <v>84</v>
      </c>
      <c r="U2" s="3" t="s">
        <v>166</v>
      </c>
      <c r="V2" s="3" t="s">
        <v>166</v>
      </c>
    </row>
    <row r="3" spans="1:22" s="3" customFormat="1" x14ac:dyDescent="0.25">
      <c r="A3" s="3" t="s">
        <v>76</v>
      </c>
      <c r="B3" s="3" t="s">
        <v>170</v>
      </c>
      <c r="C3" s="3" t="s">
        <v>82</v>
      </c>
      <c r="D3" s="3" t="s">
        <v>80</v>
      </c>
      <c r="E3" s="3" t="s">
        <v>81</v>
      </c>
      <c r="F3" s="3" t="s">
        <v>131</v>
      </c>
      <c r="G3" s="3" t="s">
        <v>196</v>
      </c>
      <c r="H3" s="3" t="s">
        <v>195</v>
      </c>
      <c r="I3" s="3">
        <v>2</v>
      </c>
      <c r="J3" s="3" t="s">
        <v>166</v>
      </c>
      <c r="K3" s="4">
        <v>46235</v>
      </c>
      <c r="L3" s="3" t="s">
        <v>78</v>
      </c>
      <c r="M3" s="3" t="s">
        <v>166</v>
      </c>
      <c r="N3" s="3" t="s">
        <v>166</v>
      </c>
      <c r="O3" s="3" t="s">
        <v>166</v>
      </c>
      <c r="P3" s="3" t="s">
        <v>166</v>
      </c>
      <c r="Q3" s="3" t="s">
        <v>166</v>
      </c>
      <c r="R3" s="3" t="s">
        <v>9</v>
      </c>
      <c r="S3" s="19">
        <v>1</v>
      </c>
      <c r="T3" s="3" t="s">
        <v>85</v>
      </c>
      <c r="U3" s="3" t="s">
        <v>166</v>
      </c>
      <c r="V3" s="3" t="s">
        <v>166</v>
      </c>
    </row>
    <row r="4" spans="1:22" s="3" customFormat="1" x14ac:dyDescent="0.25">
      <c r="A4" s="3" t="s">
        <v>86</v>
      </c>
      <c r="B4" s="3" t="s">
        <v>170</v>
      </c>
      <c r="C4" s="3" t="s">
        <v>82</v>
      </c>
      <c r="D4" s="3" t="s">
        <v>80</v>
      </c>
      <c r="E4" s="3" t="s">
        <v>81</v>
      </c>
      <c r="F4" s="3" t="s">
        <v>119</v>
      </c>
      <c r="G4" s="3" t="s">
        <v>197</v>
      </c>
      <c r="H4" s="3" t="s">
        <v>195</v>
      </c>
      <c r="I4" s="3">
        <v>3</v>
      </c>
      <c r="J4" s="3" t="s">
        <v>166</v>
      </c>
      <c r="K4" s="4">
        <v>46235</v>
      </c>
      <c r="L4" s="3" t="s">
        <v>87</v>
      </c>
      <c r="M4" s="3" t="s">
        <v>166</v>
      </c>
      <c r="N4" s="3" t="s">
        <v>166</v>
      </c>
      <c r="O4" s="3" t="s">
        <v>166</v>
      </c>
      <c r="P4" s="3" t="s">
        <v>166</v>
      </c>
      <c r="Q4" s="3" t="s">
        <v>166</v>
      </c>
      <c r="R4" s="3" t="s">
        <v>9</v>
      </c>
      <c r="S4" s="19">
        <v>-1</v>
      </c>
      <c r="T4" s="3" t="s">
        <v>88</v>
      </c>
      <c r="U4" s="3" t="s">
        <v>166</v>
      </c>
      <c r="V4" s="3" t="s">
        <v>166</v>
      </c>
    </row>
    <row r="5" spans="1:22" s="3" customFormat="1" x14ac:dyDescent="0.25">
      <c r="A5" s="3" t="s">
        <v>86</v>
      </c>
      <c r="B5" s="3" t="s">
        <v>170</v>
      </c>
      <c r="C5" s="3" t="s">
        <v>82</v>
      </c>
      <c r="D5" s="3" t="s">
        <v>80</v>
      </c>
      <c r="E5" s="3" t="s">
        <v>81</v>
      </c>
      <c r="F5" s="3" t="s">
        <v>131</v>
      </c>
      <c r="G5" s="3" t="s">
        <v>198</v>
      </c>
      <c r="H5" s="3" t="s">
        <v>195</v>
      </c>
      <c r="I5" s="3">
        <v>3</v>
      </c>
      <c r="J5" s="3" t="s">
        <v>166</v>
      </c>
      <c r="K5" s="4">
        <v>46235</v>
      </c>
      <c r="L5" s="3" t="s">
        <v>87</v>
      </c>
      <c r="M5" s="3" t="s">
        <v>166</v>
      </c>
      <c r="N5" s="3" t="s">
        <v>166</v>
      </c>
      <c r="O5" s="3" t="s">
        <v>166</v>
      </c>
      <c r="P5" s="3" t="s">
        <v>166</v>
      </c>
      <c r="Q5" s="3" t="s">
        <v>166</v>
      </c>
      <c r="R5" s="3" t="s">
        <v>9</v>
      </c>
      <c r="S5" s="19">
        <v>-1</v>
      </c>
      <c r="T5" s="3" t="s">
        <v>89</v>
      </c>
      <c r="U5" s="3" t="s">
        <v>166</v>
      </c>
      <c r="V5" s="3" t="s">
        <v>166</v>
      </c>
    </row>
    <row r="6" spans="1:22" s="3" customFormat="1" x14ac:dyDescent="0.25">
      <c r="A6" s="3" t="s">
        <v>90</v>
      </c>
      <c r="B6" s="3" t="s">
        <v>170</v>
      </c>
      <c r="C6" s="3" t="s">
        <v>82</v>
      </c>
      <c r="D6" s="3" t="s">
        <v>80</v>
      </c>
      <c r="E6" s="3" t="s">
        <v>81</v>
      </c>
      <c r="F6" s="3" t="s">
        <v>119</v>
      </c>
      <c r="G6" s="3" t="s">
        <v>199</v>
      </c>
      <c r="H6" s="3" t="s">
        <v>195</v>
      </c>
      <c r="I6" s="3">
        <v>6</v>
      </c>
      <c r="J6" s="3" t="s">
        <v>166</v>
      </c>
      <c r="K6" s="4">
        <v>46235</v>
      </c>
      <c r="L6" s="3" t="s">
        <v>91</v>
      </c>
      <c r="M6" s="3" t="s">
        <v>166</v>
      </c>
      <c r="N6" s="3" t="s">
        <v>166</v>
      </c>
      <c r="O6" s="3" t="s">
        <v>166</v>
      </c>
      <c r="P6" s="3" t="s">
        <v>166</v>
      </c>
      <c r="Q6" s="3" t="s">
        <v>166</v>
      </c>
      <c r="R6" s="3" t="s">
        <v>9</v>
      </c>
      <c r="S6" s="19">
        <v>-987654</v>
      </c>
      <c r="T6" s="3" t="s">
        <v>92</v>
      </c>
      <c r="U6" s="3" t="s">
        <v>166</v>
      </c>
      <c r="V6" s="3" t="s">
        <v>166</v>
      </c>
    </row>
    <row r="7" spans="1:22" s="3" customFormat="1" x14ac:dyDescent="0.25">
      <c r="A7" s="3" t="s">
        <v>90</v>
      </c>
      <c r="B7" s="3" t="s">
        <v>170</v>
      </c>
      <c r="C7" s="3" t="s">
        <v>82</v>
      </c>
      <c r="D7" s="3" t="s">
        <v>80</v>
      </c>
      <c r="E7" s="3" t="s">
        <v>81</v>
      </c>
      <c r="F7" s="3" t="s">
        <v>131</v>
      </c>
      <c r="G7" s="3" t="s">
        <v>200</v>
      </c>
      <c r="H7" s="3" t="s">
        <v>195</v>
      </c>
      <c r="I7" s="3">
        <v>6</v>
      </c>
      <c r="J7" s="3" t="s">
        <v>166</v>
      </c>
      <c r="K7" s="4">
        <v>46235</v>
      </c>
      <c r="L7" s="3" t="s">
        <v>91</v>
      </c>
      <c r="M7" s="3" t="s">
        <v>166</v>
      </c>
      <c r="N7" s="3" t="s">
        <v>166</v>
      </c>
      <c r="O7" s="3" t="s">
        <v>166</v>
      </c>
      <c r="P7" s="3" t="s">
        <v>166</v>
      </c>
      <c r="Q7" s="3" t="s">
        <v>166</v>
      </c>
      <c r="R7" s="3" t="s">
        <v>9</v>
      </c>
      <c r="S7" s="19">
        <v>-987654</v>
      </c>
      <c r="T7" s="3" t="s">
        <v>93</v>
      </c>
      <c r="U7" s="3" t="s">
        <v>166</v>
      </c>
      <c r="V7" s="3" t="s">
        <v>166</v>
      </c>
    </row>
    <row r="8" spans="1:22" s="3" customFormat="1" x14ac:dyDescent="0.25">
      <c r="A8" s="3" t="s">
        <v>94</v>
      </c>
      <c r="B8" s="3" t="s">
        <v>170</v>
      </c>
      <c r="C8" s="3" t="s">
        <v>82</v>
      </c>
      <c r="D8" s="3" t="s">
        <v>80</v>
      </c>
      <c r="E8" s="3" t="s">
        <v>81</v>
      </c>
      <c r="F8" s="3" t="s">
        <v>119</v>
      </c>
      <c r="G8" s="3" t="s">
        <v>201</v>
      </c>
      <c r="H8" s="3" t="s">
        <v>195</v>
      </c>
      <c r="I8" s="3">
        <v>7</v>
      </c>
      <c r="J8" s="3" t="s">
        <v>166</v>
      </c>
      <c r="K8" s="4">
        <v>46235</v>
      </c>
      <c r="L8" s="3" t="s">
        <v>95</v>
      </c>
      <c r="M8" s="3" t="s">
        <v>166</v>
      </c>
      <c r="N8" s="3" t="s">
        <v>166</v>
      </c>
      <c r="O8" s="3" t="s">
        <v>166</v>
      </c>
      <c r="P8" s="3" t="s">
        <v>166</v>
      </c>
      <c r="Q8" s="3" t="s">
        <v>166</v>
      </c>
      <c r="R8" s="3" t="s">
        <v>9</v>
      </c>
      <c r="S8" s="19">
        <v>99999999999999</v>
      </c>
      <c r="T8" s="3" t="s">
        <v>96</v>
      </c>
      <c r="U8" s="3" t="s">
        <v>166</v>
      </c>
      <c r="V8" s="3" t="s">
        <v>166</v>
      </c>
    </row>
    <row r="9" spans="1:22" s="3" customFormat="1" x14ac:dyDescent="0.25">
      <c r="A9" s="3" t="s">
        <v>94</v>
      </c>
      <c r="B9" s="3" t="s">
        <v>170</v>
      </c>
      <c r="C9" s="3" t="s">
        <v>82</v>
      </c>
      <c r="D9" s="3" t="s">
        <v>80</v>
      </c>
      <c r="E9" s="3" t="s">
        <v>81</v>
      </c>
      <c r="F9" s="3" t="s">
        <v>131</v>
      </c>
      <c r="G9" s="3" t="s">
        <v>202</v>
      </c>
      <c r="H9" s="3" t="s">
        <v>195</v>
      </c>
      <c r="I9" s="3">
        <v>7</v>
      </c>
      <c r="J9" s="3" t="s">
        <v>166</v>
      </c>
      <c r="K9" s="4">
        <v>46235</v>
      </c>
      <c r="L9" s="3" t="s">
        <v>95</v>
      </c>
      <c r="M9" s="3" t="s">
        <v>166</v>
      </c>
      <c r="N9" s="3" t="s">
        <v>166</v>
      </c>
      <c r="O9" s="3" t="s">
        <v>166</v>
      </c>
      <c r="P9" s="3" t="s">
        <v>166</v>
      </c>
      <c r="Q9" s="3" t="s">
        <v>166</v>
      </c>
      <c r="R9" s="3" t="s">
        <v>9</v>
      </c>
      <c r="S9" s="19">
        <v>99999999999999</v>
      </c>
      <c r="T9" s="3" t="s">
        <v>97</v>
      </c>
      <c r="U9" s="3" t="s">
        <v>166</v>
      </c>
      <c r="V9" s="3" t="s">
        <v>166</v>
      </c>
    </row>
    <row r="10" spans="1:22" s="3" customFormat="1" x14ac:dyDescent="0.25">
      <c r="A10" s="3" t="s">
        <v>118</v>
      </c>
      <c r="B10" s="3" t="s">
        <v>142</v>
      </c>
      <c r="C10" s="3" t="s">
        <v>143</v>
      </c>
      <c r="D10" s="3" t="s">
        <v>203</v>
      </c>
      <c r="E10" s="3" t="s">
        <v>123</v>
      </c>
      <c r="F10" s="3" t="s">
        <v>119</v>
      </c>
      <c r="G10" s="3" t="s">
        <v>204</v>
      </c>
      <c r="H10" s="3" t="s">
        <v>195</v>
      </c>
      <c r="I10" s="3">
        <v>4</v>
      </c>
      <c r="J10" s="3" t="s">
        <v>166</v>
      </c>
      <c r="K10" s="4">
        <v>46235</v>
      </c>
      <c r="L10" s="3" t="s">
        <v>121</v>
      </c>
      <c r="M10" s="3" t="s">
        <v>166</v>
      </c>
      <c r="N10" s="3" t="s">
        <v>166</v>
      </c>
      <c r="O10" s="3" t="s">
        <v>166</v>
      </c>
      <c r="P10" s="3" t="s">
        <v>166</v>
      </c>
      <c r="Q10" s="3" t="s">
        <v>166</v>
      </c>
      <c r="R10" s="3" t="s">
        <v>9</v>
      </c>
      <c r="S10" s="19">
        <v>0</v>
      </c>
      <c r="T10" s="3" t="s">
        <v>124</v>
      </c>
      <c r="U10" s="3" t="s">
        <v>166</v>
      </c>
      <c r="V10" s="3" t="s">
        <v>166</v>
      </c>
    </row>
    <row r="11" spans="1:22" s="3" customFormat="1" x14ac:dyDescent="0.25">
      <c r="A11" s="3" t="s">
        <v>125</v>
      </c>
      <c r="B11" s="3" t="s">
        <v>142</v>
      </c>
      <c r="C11" s="3" t="s">
        <v>143</v>
      </c>
      <c r="D11" s="3" t="s">
        <v>203</v>
      </c>
      <c r="E11" s="3" t="s">
        <v>128</v>
      </c>
      <c r="F11" s="3" t="s">
        <v>119</v>
      </c>
      <c r="G11" s="3" t="s">
        <v>177</v>
      </c>
      <c r="H11" s="3" t="s">
        <v>195</v>
      </c>
      <c r="I11" s="3">
        <v>5</v>
      </c>
      <c r="J11" s="3" t="s">
        <v>166</v>
      </c>
      <c r="K11" s="4">
        <v>46235</v>
      </c>
      <c r="L11" s="3" t="s">
        <v>126</v>
      </c>
      <c r="M11" s="3" t="s">
        <v>166</v>
      </c>
      <c r="N11" s="3" t="s">
        <v>166</v>
      </c>
      <c r="O11" s="3" t="s">
        <v>166</v>
      </c>
      <c r="P11" s="3" t="s">
        <v>166</v>
      </c>
      <c r="Q11" s="3" t="s">
        <v>166</v>
      </c>
      <c r="R11" s="3" t="s">
        <v>9</v>
      </c>
      <c r="S11" s="19">
        <v>123456</v>
      </c>
      <c r="T11" s="3" t="s">
        <v>129</v>
      </c>
      <c r="U11" s="3" t="s">
        <v>166</v>
      </c>
      <c r="V11" s="3" t="s">
        <v>166</v>
      </c>
    </row>
    <row r="12" spans="1:22" s="3" customFormat="1" x14ac:dyDescent="0.25">
      <c r="A12" s="3" t="s">
        <v>130</v>
      </c>
      <c r="B12" s="3" t="s">
        <v>145</v>
      </c>
      <c r="C12" s="3" t="s">
        <v>143</v>
      </c>
      <c r="D12" s="3" t="s">
        <v>205</v>
      </c>
      <c r="E12" s="3" t="s">
        <v>132</v>
      </c>
      <c r="F12" s="3" t="s">
        <v>131</v>
      </c>
      <c r="G12" s="3" t="s">
        <v>180</v>
      </c>
      <c r="H12" s="3" t="s">
        <v>195</v>
      </c>
      <c r="I12" s="3">
        <v>4</v>
      </c>
      <c r="J12" s="3" t="s">
        <v>166</v>
      </c>
      <c r="K12" s="4">
        <v>46235</v>
      </c>
      <c r="L12" s="3" t="s">
        <v>121</v>
      </c>
      <c r="M12" s="3" t="s">
        <v>166</v>
      </c>
      <c r="N12" s="3" t="s">
        <v>166</v>
      </c>
      <c r="O12" s="3" t="s">
        <v>166</v>
      </c>
      <c r="P12" s="3" t="s">
        <v>166</v>
      </c>
      <c r="Q12" s="3" t="s">
        <v>166</v>
      </c>
      <c r="R12" s="3" t="s">
        <v>9</v>
      </c>
      <c r="S12" s="19">
        <v>0</v>
      </c>
      <c r="T12" s="3" t="s">
        <v>133</v>
      </c>
      <c r="U12" s="3" t="s">
        <v>166</v>
      </c>
      <c r="V12" s="3" t="s">
        <v>166</v>
      </c>
    </row>
    <row r="13" spans="1:22" s="3" customFormat="1" x14ac:dyDescent="0.25">
      <c r="A13" s="3" t="s">
        <v>134</v>
      </c>
      <c r="B13" s="3" t="s">
        <v>145</v>
      </c>
      <c r="C13" s="3" t="s">
        <v>143</v>
      </c>
      <c r="D13" s="3" t="s">
        <v>205</v>
      </c>
      <c r="E13" s="3" t="s">
        <v>136</v>
      </c>
      <c r="F13" s="3" t="s">
        <v>131</v>
      </c>
      <c r="G13" s="3" t="s">
        <v>181</v>
      </c>
      <c r="H13" s="3" t="s">
        <v>195</v>
      </c>
      <c r="I13" s="3">
        <v>5</v>
      </c>
      <c r="J13" s="3" t="s">
        <v>166</v>
      </c>
      <c r="K13" s="4">
        <v>46235</v>
      </c>
      <c r="L13" s="3" t="s">
        <v>135</v>
      </c>
      <c r="M13" s="3" t="s">
        <v>166</v>
      </c>
      <c r="N13" s="3" t="s">
        <v>166</v>
      </c>
      <c r="O13" s="3" t="s">
        <v>166</v>
      </c>
      <c r="P13" s="3" t="s">
        <v>166</v>
      </c>
      <c r="Q13" s="3" t="s">
        <v>166</v>
      </c>
      <c r="R13" s="3" t="s">
        <v>9</v>
      </c>
      <c r="S13" s="19">
        <v>123456</v>
      </c>
      <c r="T13" s="3" t="s">
        <v>137</v>
      </c>
      <c r="U13" s="3" t="s">
        <v>166</v>
      </c>
      <c r="V13" s="3" t="s">
        <v>166</v>
      </c>
    </row>
  </sheetData>
  <autoFilter ref="A1:V13"/>
  <hyperlinks>
    <hyperlink ref="T2" r:id="rId1" location="#'Parsed Supplier Source'!A3"/>
    <hyperlink ref="T3" r:id="rId2" location="#'Parsed Ledger Source'!A3"/>
    <hyperlink ref="T4" r:id="rId3" location="#'Parsed Supplier Source'!A4"/>
    <hyperlink ref="T5" r:id="rId4" location="#'Parsed Ledger Source'!A4"/>
    <hyperlink ref="T6" r:id="rId5" location="#'Parsed Supplier Source'!A7"/>
    <hyperlink ref="T7" r:id="rId6" location="#'Parsed Ledger Source'!A7"/>
    <hyperlink ref="T8" r:id="rId7" location="#'Parsed Supplier Source'!A8"/>
    <hyperlink ref="T9" r:id="rId8" location="#'Parsed Ledger Source'!A8"/>
    <hyperlink ref="T10" r:id="rId9" location="#'Parsed Supplier Source'!A5"/>
    <hyperlink ref="T11" r:id="rId10" location="#'Parsed Supplier Source'!A6"/>
    <hyperlink ref="T12" r:id="rId11" location="#'Parsed Ledger Source'!A5"/>
    <hyperlink ref="T13" r:id="rId12" location="#'Parsed Ledger Source'!A6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23" customFormat="1" x14ac:dyDescent="0.25">
      <c r="A1" s="23" t="s">
        <v>206</v>
      </c>
      <c r="B1" s="23" t="s">
        <v>207</v>
      </c>
      <c r="C1" s="23" t="s">
        <v>208</v>
      </c>
      <c r="D1" s="23" t="s">
        <v>107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194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197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204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177</v>
      </c>
      <c r="B5" s="3" t="s">
        <v>195</v>
      </c>
      <c r="C5" s="3">
        <v>5</v>
      </c>
      <c r="D5" s="4">
        <v>46235</v>
      </c>
      <c r="E5" s="3" t="s">
        <v>126</v>
      </c>
      <c r="F5" s="3" t="s">
        <v>227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199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201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31" customWidth="1"/>
    <col min="8" max="8" width="17" style="7" customWidth="1"/>
    <col min="9" max="9" width="19" customWidth="1"/>
    <col min="10" max="10" width="20" customWidth="1"/>
  </cols>
  <sheetData>
    <row r="1" ht="28" customHeight="1" spans="1:10" s="23" customFormat="1" x14ac:dyDescent="0.25">
      <c r="A1" s="23" t="s">
        <v>209</v>
      </c>
      <c r="B1" s="23" t="s">
        <v>210</v>
      </c>
      <c r="C1" s="23" t="s">
        <v>211</v>
      </c>
      <c r="D1" s="23" t="s">
        <v>212</v>
      </c>
      <c r="E1" s="23" t="s">
        <v>213</v>
      </c>
      <c r="F1" s="23" t="s">
        <v>214</v>
      </c>
      <c r="G1" s="23" t="s">
        <v>215</v>
      </c>
      <c r="H1" s="24" t="s">
        <v>216</v>
      </c>
      <c r="I1" s="23" t="s">
        <v>217</v>
      </c>
      <c r="J1" s="23" t="s">
        <v>218</v>
      </c>
    </row>
    <row r="2" spans="1:10" s="3" customFormat="1" x14ac:dyDescent="0.25">
      <c r="A2" s="3" t="s">
        <v>196</v>
      </c>
      <c r="B2" s="3" t="s">
        <v>195</v>
      </c>
      <c r="C2" s="3">
        <v>2</v>
      </c>
      <c r="D2" s="4">
        <v>46235</v>
      </c>
      <c r="E2" s="3" t="s">
        <v>78</v>
      </c>
      <c r="F2" s="3" t="s">
        <v>219</v>
      </c>
      <c r="G2" s="3" t="s">
        <v>220</v>
      </c>
      <c r="H2" s="19">
        <v>1</v>
      </c>
      <c r="I2" s="3" t="s">
        <v>221</v>
      </c>
      <c r="J2" s="3" t="s">
        <v>166</v>
      </c>
    </row>
    <row r="3" spans="1:10" s="3" customFormat="1" x14ac:dyDescent="0.25">
      <c r="A3" s="3" t="s">
        <v>198</v>
      </c>
      <c r="B3" s="3" t="s">
        <v>195</v>
      </c>
      <c r="C3" s="3">
        <v>3</v>
      </c>
      <c r="D3" s="4">
        <v>46235</v>
      </c>
      <c r="E3" s="3" t="s">
        <v>87</v>
      </c>
      <c r="F3" s="3" t="s">
        <v>222</v>
      </c>
      <c r="G3" s="3" t="s">
        <v>223</v>
      </c>
      <c r="H3" s="19">
        <v>-1</v>
      </c>
      <c r="I3" s="3" t="s">
        <v>224</v>
      </c>
      <c r="J3" s="3" t="s">
        <v>166</v>
      </c>
    </row>
    <row r="4" spans="1:10" s="3" customFormat="1" x14ac:dyDescent="0.25">
      <c r="A4" s="3" t="s">
        <v>180</v>
      </c>
      <c r="B4" s="3" t="s">
        <v>195</v>
      </c>
      <c r="C4" s="3">
        <v>4</v>
      </c>
      <c r="D4" s="4">
        <v>46235</v>
      </c>
      <c r="E4" s="3" t="s">
        <v>121</v>
      </c>
      <c r="F4" s="3" t="s">
        <v>225</v>
      </c>
      <c r="G4" s="3" t="s">
        <v>122</v>
      </c>
      <c r="H4" s="19">
        <v>0</v>
      </c>
      <c r="I4" s="3" t="s">
        <v>226</v>
      </c>
      <c r="J4" s="3" t="s">
        <v>166</v>
      </c>
    </row>
    <row r="5" spans="1:10" s="3" customFormat="1" x14ac:dyDescent="0.25">
      <c r="A5" s="3" t="s">
        <v>181</v>
      </c>
      <c r="B5" s="3" t="s">
        <v>195</v>
      </c>
      <c r="C5" s="3">
        <v>5</v>
      </c>
      <c r="D5" s="4">
        <v>46235</v>
      </c>
      <c r="E5" s="3" t="s">
        <v>135</v>
      </c>
      <c r="F5" s="3" t="s">
        <v>235</v>
      </c>
      <c r="G5" s="3" t="s">
        <v>127</v>
      </c>
      <c r="H5" s="19">
        <v>123456</v>
      </c>
      <c r="I5" s="3" t="s">
        <v>228</v>
      </c>
      <c r="J5" s="3" t="s">
        <v>166</v>
      </c>
    </row>
    <row r="6" spans="1:10" s="3" customFormat="1" x14ac:dyDescent="0.25">
      <c r="A6" s="3" t="s">
        <v>200</v>
      </c>
      <c r="B6" s="3" t="s">
        <v>195</v>
      </c>
      <c r="C6" s="3">
        <v>6</v>
      </c>
      <c r="D6" s="4">
        <v>46235</v>
      </c>
      <c r="E6" s="3" t="s">
        <v>91</v>
      </c>
      <c r="F6" s="3" t="s">
        <v>229</v>
      </c>
      <c r="G6" s="3" t="s">
        <v>230</v>
      </c>
      <c r="H6" s="19">
        <v>-987654</v>
      </c>
      <c r="I6" s="3" t="s">
        <v>231</v>
      </c>
      <c r="J6" s="3" t="s">
        <v>166</v>
      </c>
    </row>
    <row r="7" spans="1:10" s="3" customFormat="1" x14ac:dyDescent="0.25">
      <c r="A7" s="3" t="s">
        <v>202</v>
      </c>
      <c r="B7" s="3" t="s">
        <v>195</v>
      </c>
      <c r="C7" s="3">
        <v>7</v>
      </c>
      <c r="D7" s="4">
        <v>46235</v>
      </c>
      <c r="E7" s="3" t="s">
        <v>95</v>
      </c>
      <c r="F7" s="3" t="s">
        <v>232</v>
      </c>
      <c r="G7" s="3" t="s">
        <v>233</v>
      </c>
      <c r="H7" s="19">
        <v>99999999999999</v>
      </c>
      <c r="I7" s="3" t="s">
        <v>234</v>
      </c>
      <c r="J7" s="3" t="s">
        <v>166</v>
      </c>
    </row>
  </sheetData>
  <autoFilter ref="A1:J7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23" customFormat="1" x14ac:dyDescent="0.25">
      <c r="A1" s="23" t="s">
        <v>236</v>
      </c>
      <c r="B1" s="23" t="s">
        <v>211</v>
      </c>
      <c r="C1" s="23" t="s">
        <v>237</v>
      </c>
      <c r="D1" s="23" t="s">
        <v>238</v>
      </c>
    </row>
    <row r="2" spans="1:4" s="3" customFormat="1" x14ac:dyDescent="0.25">
      <c r="A2" s="3" t="s">
        <v>239</v>
      </c>
      <c r="B2" s="3">
        <v>1</v>
      </c>
      <c r="C2" s="3" t="s">
        <v>240</v>
      </c>
      <c r="D2" s="3" t="s">
        <v>241</v>
      </c>
    </row>
    <row r="3" spans="1:4" s="3" customFormat="1" x14ac:dyDescent="0.25">
      <c r="A3" s="3" t="s">
        <v>242</v>
      </c>
      <c r="B3" s="3">
        <v>1</v>
      </c>
      <c r="C3" s="3" t="s">
        <v>240</v>
      </c>
      <c r="D3" s="3" t="s">
        <v>241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3" customFormat="1" x14ac:dyDescent="0.25">
      <c r="A1" s="23" t="s">
        <v>243</v>
      </c>
      <c r="B1" s="23" t="s">
        <v>244</v>
      </c>
    </row>
    <row r="2" spans="1:2" s="3" customFormat="1" x14ac:dyDescent="0.25">
      <c r="A2" s="3" t="s">
        <v>245</v>
      </c>
      <c r="B2" s="3" t="s">
        <v>246</v>
      </c>
    </row>
    <row r="3" spans="1:2" s="3" customFormat="1" x14ac:dyDescent="0.25">
      <c r="A3" s="3" t="s">
        <v>247</v>
      </c>
      <c r="B3" s="3" t="s">
        <v>248</v>
      </c>
    </row>
    <row r="4" spans="1:2" s="3" customFormat="1" x14ac:dyDescent="0.25">
      <c r="A4" s="3" t="s">
        <v>249</v>
      </c>
      <c r="B4" s="3" t="s">
        <v>248</v>
      </c>
    </row>
    <row r="5" spans="1:2" s="3" customFormat="1" x14ac:dyDescent="0.25">
      <c r="A5" s="3" t="s">
        <v>250</v>
      </c>
      <c r="B5" s="3" t="s">
        <v>251</v>
      </c>
    </row>
    <row r="6" spans="1:2" s="3" customFormat="1" x14ac:dyDescent="0.25">
      <c r="A6" s="3" t="s">
        <v>252</v>
      </c>
      <c r="B6" s="3" t="s">
        <v>251</v>
      </c>
    </row>
    <row r="7" spans="1:2" s="3" customFormat="1" x14ac:dyDescent="0.25">
      <c r="A7" s="3" t="s">
        <v>253</v>
      </c>
      <c r="B7" s="3" t="s">
        <v>254</v>
      </c>
    </row>
    <row r="8" spans="1:2" s="3" customFormat="1" x14ac:dyDescent="0.25">
      <c r="A8" s="3" t="s">
        <v>255</v>
      </c>
      <c r="B8" s="3" t="s">
        <v>254</v>
      </c>
    </row>
    <row r="9" spans="1:2" s="3" customFormat="1" x14ac:dyDescent="0.25">
      <c r="A9" s="3" t="s">
        <v>256</v>
      </c>
      <c r="B9" s="3" t="s">
        <v>257</v>
      </c>
    </row>
    <row r="10" spans="1:2" s="3" customFormat="1" x14ac:dyDescent="0.25">
      <c r="A10" s="3" t="s">
        <v>258</v>
      </c>
      <c r="B10" s="3" t="s">
        <v>257</v>
      </c>
    </row>
    <row r="11" spans="1:2" s="3" customFormat="1" x14ac:dyDescent="0.25">
      <c r="A11" s="3" t="s">
        <v>259</v>
      </c>
      <c r="B11" s="3" t="s">
        <v>260</v>
      </c>
    </row>
    <row r="12" spans="1:2" s="3" customFormat="1" x14ac:dyDescent="0.25">
      <c r="A12" s="3" t="s">
        <v>261</v>
      </c>
      <c r="B12" s="3" t="s">
        <v>262</v>
      </c>
    </row>
    <row r="13" spans="1:2" s="3" customFormat="1" x14ac:dyDescent="0.25">
      <c r="A13" s="3" t="s">
        <v>263</v>
      </c>
      <c r="B13" s="3" t="s">
        <v>262</v>
      </c>
    </row>
    <row r="14" spans="1:2" s="3" customFormat="1" x14ac:dyDescent="0.25">
      <c r="A14" s="3" t="s">
        <v>264</v>
      </c>
      <c r="B14" s="3" t="s">
        <v>166</v>
      </c>
    </row>
    <row r="15" spans="1:2" s="3" customFormat="1" x14ac:dyDescent="0.25">
      <c r="A15" s="3" t="s">
        <v>265</v>
      </c>
      <c r="B15" s="3" t="s">
        <v>166</v>
      </c>
    </row>
    <row r="16" spans="1:2" s="3" customFormat="1" x14ac:dyDescent="0.25">
      <c r="A16" s="3" t="s">
        <v>266</v>
      </c>
      <c r="B16" s="3" t="s">
        <v>267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126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  <col min="7" max="7" width="31" customWidth="1"/>
  </cols>
  <sheetData>
    <row r="1" ht="28" customHeight="1" spans="1:7" s="23" customFormat="1" x14ac:dyDescent="0.25">
      <c r="A1" s="23" t="s">
        <v>211</v>
      </c>
      <c r="B1" s="23" t="s">
        <v>268</v>
      </c>
      <c r="C1" s="23" t="s">
        <v>269</v>
      </c>
      <c r="D1" s="23" t="s">
        <v>270</v>
      </c>
      <c r="E1" s="23" t="s">
        <v>271</v>
      </c>
      <c r="F1" s="23" t="s">
        <v>272</v>
      </c>
      <c r="G1" s="23" t="s">
        <v>273</v>
      </c>
    </row>
    <row r="2" spans="1:7" s="3" customFormat="1" x14ac:dyDescent="0.25">
      <c r="A2" s="3">
        <v>1</v>
      </c>
      <c r="B2" s="3" t="s">
        <v>274</v>
      </c>
      <c r="C2" s="3" t="s">
        <v>275</v>
      </c>
      <c r="D2" s="3" t="s">
        <v>276</v>
      </c>
      <c r="E2" s="3" t="s">
        <v>277</v>
      </c>
      <c r="F2" s="3" t="s">
        <v>278</v>
      </c>
      <c r="G2" s="3" t="s">
        <v>279</v>
      </c>
    </row>
    <row r="3" spans="1:7" s="3" customFormat="1" x14ac:dyDescent="0.25">
      <c r="A3" s="3">
        <v>2</v>
      </c>
      <c r="B3" s="3" t="s">
        <v>280</v>
      </c>
      <c r="C3" s="3" t="s">
        <v>78</v>
      </c>
      <c r="D3" s="3" t="s">
        <v>281</v>
      </c>
      <c r="E3" s="3" t="s">
        <v>281</v>
      </c>
      <c r="F3" s="3" t="s">
        <v>166</v>
      </c>
      <c r="G3" s="3" t="s">
        <v>220</v>
      </c>
    </row>
    <row r="4" spans="1:7" s="3" customFormat="1" x14ac:dyDescent="0.25">
      <c r="A4" s="3">
        <v>3</v>
      </c>
      <c r="B4" s="3" t="s">
        <v>280</v>
      </c>
      <c r="C4" s="3" t="s">
        <v>87</v>
      </c>
      <c r="D4" s="3" t="s">
        <v>282</v>
      </c>
      <c r="E4" s="3" t="s">
        <v>166</v>
      </c>
      <c r="F4" s="3" t="s">
        <v>281</v>
      </c>
      <c r="G4" s="3" t="s">
        <v>223</v>
      </c>
    </row>
    <row r="5" spans="1:7" s="3" customFormat="1" x14ac:dyDescent="0.25">
      <c r="A5" s="3">
        <v>4</v>
      </c>
      <c r="B5" s="3" t="s">
        <v>280</v>
      </c>
      <c r="C5" s="3" t="s">
        <v>121</v>
      </c>
      <c r="D5" s="3" t="s">
        <v>283</v>
      </c>
      <c r="E5" s="3" t="s">
        <v>283</v>
      </c>
      <c r="F5" s="3" t="s">
        <v>166</v>
      </c>
      <c r="G5" s="3" t="s">
        <v>122</v>
      </c>
    </row>
    <row r="6" spans="1:7" s="3" customFormat="1" x14ac:dyDescent="0.25">
      <c r="A6" s="3">
        <v>5</v>
      </c>
      <c r="B6" s="3" t="s">
        <v>280</v>
      </c>
      <c r="C6" s="3" t="s">
        <v>135</v>
      </c>
      <c r="D6" s="3" t="s">
        <v>284</v>
      </c>
      <c r="E6" s="3" t="s">
        <v>284</v>
      </c>
      <c r="F6" s="3" t="s">
        <v>166</v>
      </c>
      <c r="G6" s="3" t="s">
        <v>127</v>
      </c>
    </row>
    <row r="7" spans="1:7" s="3" customFormat="1" x14ac:dyDescent="0.25">
      <c r="A7" s="3">
        <v>6</v>
      </c>
      <c r="B7" s="3" t="s">
        <v>280</v>
      </c>
      <c r="C7" s="3" t="s">
        <v>91</v>
      </c>
      <c r="D7" s="3" t="s">
        <v>285</v>
      </c>
      <c r="E7" s="3" t="s">
        <v>166</v>
      </c>
      <c r="F7" s="3" t="s">
        <v>286</v>
      </c>
      <c r="G7" s="3" t="s">
        <v>230</v>
      </c>
    </row>
    <row r="8" spans="1:7" s="3" customFormat="1" x14ac:dyDescent="0.25">
      <c r="A8" s="3">
        <v>7</v>
      </c>
      <c r="B8" s="3" t="s">
        <v>280</v>
      </c>
      <c r="C8" s="3" t="s">
        <v>95</v>
      </c>
      <c r="D8" s="3" t="s">
        <v>287</v>
      </c>
      <c r="E8" s="3" t="s">
        <v>287</v>
      </c>
      <c r="F8" s="3" t="s">
        <v>166</v>
      </c>
      <c r="G8" s="3" t="s">
        <v>233</v>
      </c>
    </row>
  </sheetData>
  <autoFilter ref="A1:G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3" customFormat="1" x14ac:dyDescent="0.25">
      <c r="A1" s="23" t="s">
        <v>236</v>
      </c>
      <c r="B1" s="23" t="s">
        <v>288</v>
      </c>
      <c r="C1" s="23" t="s">
        <v>289</v>
      </c>
      <c r="D1" s="23" t="s">
        <v>290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3" customFormat="1" x14ac:dyDescent="0.25">
      <c r="A1" s="23" t="s">
        <v>291</v>
      </c>
      <c r="B1" s="23" t="s">
        <v>292</v>
      </c>
    </row>
    <row r="2" spans="1:2" s="3" customFormat="1" x14ac:dyDescent="0.25">
      <c r="A2" s="3" t="s">
        <v>293</v>
      </c>
      <c r="B2" s="3" t="s">
        <v>294</v>
      </c>
    </row>
    <row r="3" spans="1:2" s="3" customFormat="1" x14ac:dyDescent="0.25">
      <c r="A3" s="3" t="s">
        <v>295</v>
      </c>
      <c r="B3" s="3" t="s">
        <v>296</v>
      </c>
    </row>
    <row r="4" spans="1:2" s="3" customFormat="1" x14ac:dyDescent="0.25">
      <c r="A4" s="3" t="s">
        <v>297</v>
      </c>
      <c r="B4" s="3" t="s">
        <v>296</v>
      </c>
    </row>
    <row r="5" spans="1:2" s="3" customFormat="1" x14ac:dyDescent="0.25">
      <c r="A5" s="3" t="s">
        <v>298</v>
      </c>
      <c r="B5" s="4">
        <v>46282.863847858796</v>
      </c>
    </row>
    <row r="6" spans="1:2" s="3" customFormat="1" x14ac:dyDescent="0.25">
      <c r="A6" s="3" t="s">
        <v>299</v>
      </c>
      <c r="B6" s="3" t="s">
        <v>300</v>
      </c>
    </row>
    <row r="7" spans="1:2" s="3" customFormat="1" x14ac:dyDescent="0.25">
      <c r="A7" s="3" t="s">
        <v>301</v>
      </c>
      <c r="B7" s="3" t="s">
        <v>302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2026-09-17T20:43:56Z</dcterms:created>
  <dcterms:modified xsi:type="dcterms:W3CDTF">2026-09-17T20:43:56Z</dcterms:modified>
</cp:coreProperties>
</file>