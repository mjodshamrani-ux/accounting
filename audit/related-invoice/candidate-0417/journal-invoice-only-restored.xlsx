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<sst xmlns="http://schemas.openxmlformats.org/spreadsheetml/2006/main" count="409" uniqueCount="244">
  <si>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</si>
  <si>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</si>
  <si>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</si>
  <si>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</si>
  <si>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</si>
  <si>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</si>
  <si>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</si>
  <si>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</si>
  <si>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</si>
  <si>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</si>
  <si>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</si>
  <si>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</si>
  <si>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</si>
  <si>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</si>
  <si>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</si>
  <si>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</si>
  <si>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</si>
  <si>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</si>
  <si>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</si>
  <si>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</si>
  <si>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</si>
  <si>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</si>
  <si>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</si>
  <si>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</si>
  <si>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</si>
  <si>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</si>
  <si>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</si>
  <si>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</si>
  <si>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</si>
  <si>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</si>
  <si>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</si>
  <si>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</si>
  <si>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</si>
  <si>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</si>
  <si>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</si>
  <si>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</si>
  <si>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</si>
  <si>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</si>
  <si>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</si>
  <si>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</si>
  <si>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</si>
  <si>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</si>
  <si>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</si>
  <si>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</si>
  <si>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</si>
  <si>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</si>
  <si>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</si>
  <si>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</si>
  <si>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</si>
  <si>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</si>
  <si>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</si>
  <si>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</si>
  <si>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</si>
  <si>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</si>
  <si>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</si>
  <si>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</si>
  <si>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</si>
  <si>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</si>
  <si>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</si>
  <si>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</si>
  <si>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</si>
  <si>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</si>
  <si>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</si>
  <si>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</si>
  <si>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</si>
  <si>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</si>
  <si>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</si>
  <si>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</si>
  <si>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</si>
  <si>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</si>
  <si>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</si>
  <si>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</si>
  <si>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</si>
  <si>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</si>
  <si>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</si>
  <si>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</si>
  <si>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</si>
  <si>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</si>
  <si>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</si>
  <si>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</si>
  <si>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</si>
  <si>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</si>
  <si>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</si>
  <si>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</si>
  <si>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</si>
  <si>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Supplier Source 1</t>
  </si>
  <si>
    <t>Ledger Source 1</t>
  </si>
  <si>
    <t>CASE-D75CE423</t>
  </si>
  <si>
    <t>SUPPLIER_ONLY</t>
  </si>
  <si>
    <t xml:space="preserve"> · Statement:2</t>
  </si>
  <si>
    <t xml:space="preserve">رقم الفاتورة المرتبطة لا يثبت هوية هذا المستند. يلزم رقم المستند أو مرجع دفعة صريح.
مستند المورد صف 2 بمبلغ -50.00 SAR: لا يوجد مقابل دفتر يستوفي قواعد المطابقة أو حالة مراجعة مثبتة.</t>
  </si>
  <si>
    <t>The evidence does not prove a unique match.</t>
  </si>
  <si>
    <t>Inspect the linked source documents and record a supported decision in TARASUF.</t>
  </si>
  <si>
    <t>Pending</t>
  </si>
  <si>
    <t>Needs Review</t>
  </si>
  <si>
    <t>supplier · Statement · row 2</t>
  </si>
  <si>
    <t>CASE-5A5D9892</t>
  </si>
  <si>
    <t>LEDGER_ONLY</t>
  </si>
  <si>
    <t xml:space="preserve"> · CSV:2</t>
  </si>
  <si>
    <t xml:space="preserve">رقم الفاتورة المرتبطة لا يثبت هوية هذا المستند. يلزم رقم المستند أو مرجع دفعة صريح.
مستند الدفتر صف 2 بمبلغ -50.00 SAR: لا يوجد مقابل مورد يستوفي قواعد المطابقة أو حالة مراجعة مثبتة.</t>
  </si>
  <si>
    <t>ledger · CSV · row 2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</si>
  <si>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</si>
  <si>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</si>
  <si>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</si>
  <si>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</si>
  <si>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</si>
  <si>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</si>
  <si>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</si>
  <si>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</si>
  <si>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</si>
  <si>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</si>
  <si>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</si>
  <si>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</si>
  <si>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</si>
  <si>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</si>
  <si>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1 source rows · CASE-D75CE423</t>
  </si>
  <si>
    <t>1 source rows · CASE-5A5D9892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</si>
  <si>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</si>
  <si>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</si>
  <si>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</si>
  <si>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</si>
  <si>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</si>
  <si>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</si>
  <si>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</si>
  <si>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</si>
  <si>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</si>
  <si>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</si>
  <si>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</si>
  <si>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</si>
  <si>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</si>
  <si>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</si>
  <si>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</si>
  <si>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REFERENCE_EVIDENCE_UNVERIFIED</t>
  </si>
  <si>
    <t>رقم الفاتورة المرتبطة لا يثبت هوية هذا المستند. يلزم رقم المستند أو مرجع دفعة صريح.</t>
  </si>
  <si>
    <t>supplier:1:2</t>
  </si>
  <si>
    <t>ledger:0:2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</si>
  <si>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</si>
  <si>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</si>
  <si>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</si>
  <si>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</si>
  <si>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</si>
  <si>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</si>
  <si>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</si>
  <si>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</si>
  <si>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</si>
  <si>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</si>
  <si>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</si>
  <si>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</si>
  <si>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</si>
  <si>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</si>
  <si>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</si>
  <si>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</si>
  <si>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</si>
  <si>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</si>
  <si>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</si>
  <si>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</si>
  <si>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</si>
  <si>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</si>
  <si>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</si>
  <si>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</si>
  <si>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</si>
  <si>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NO_VIABLE_LEDGER_COUNTERPART</t>
  </si>
  <si>
    <t>supplier</t>
  </si>
  <si>
    <t>Statement</t>
  </si>
  <si>
    <t>mappedReference (Invoice No): INV-401</t>
  </si>
  <si>
    <t>Journal</t>
  </si>
  <si>
    <t>INV-401</t>
  </si>
  <si>
    <t>Invoice No</t>
  </si>
  <si>
    <t>related-invoice</t>
  </si>
  <si>
    <t>NO_VIABLE_SUPPLIER_COUNTERPART</t>
  </si>
  <si>
    <t>ledger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</si>
  <si>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</si>
  <si>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</si>
  <si>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</si>
  <si>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</si>
  <si>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</si>
  <si>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</si>
  <si>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</si>
  <si>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</si>
  <si>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</si>
  <si>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</si>
  <si>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</si>
  <si>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</si>
  <si>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</si>
  <si>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-50.00</t>
  </si>
  <si>
    <t>الطرف</t>
  </si>
  <si>
    <t>سبب الاستبعاد</t>
  </si>
  <si>
    <t>المحتوى</t>
  </si>
  <si>
    <t>المورد</t>
  </si>
  <si>
    <t>صف العناوين المؤكد</t>
  </si>
  <si>
    <t>["Date","Invoice No","Type","Amount","PO","Bank Reference"]</t>
  </si>
  <si>
    <t>الدفتر</t>
  </si>
  <si>
    <t>الحقل</t>
  </si>
  <si>
    <t>القيمة</t>
  </si>
  <si>
    <t>Scope</t>
  </si>
  <si>
    <t>{"supplier":"Synthetic Supplier","entity":"Synthetic Entity","account":"AP-714","currency":"SAR","decimals":2,"cutoff":"2026-07-31","dateWindow":3,"confirmed":true,"coverageConfirmed":false}</t>
  </si>
  <si>
    <t>Supplier mapping</t>
  </si>
  <si>
    <t>{"sheet":1,"header":0,"date":0,"reference":1,"description":-1,"amount":3,"debit":-1,"credit":-1,"currencyColumn":-1,"mode":"signed","multiplier":1,"numberFormat":"dot","dateFormat":"ymd","reportType":"transactions","opening":"","closing":"","periodStart":"","excluded":{}}</t>
  </si>
  <si>
    <t>Ledger mapping</t>
  </si>
  <si>
    <t>{"sheet":0,"header":0,"date":0,"reference":1,"description":-1,"amount":3,"debit":-1,"credit":-1,"currencyColumn":-1,"mode":"signed","multiplier":1,"numberFormat":"dot","dateFormat":"ymd","reportType":"transactions","opening":"","closing":"","periodStart":"","excluded":{}}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</si>
  <si>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</si>
  <si>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</si>
  <si>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</si>
  <si>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</si>
  <si>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</si>
  <si>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</si>
  <si>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</si>
  <si>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</si>
  <si>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</si>
  <si>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</si>
  <si>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</si>
  <si>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</si>
  <si>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journal-invoice-only-supplier.xlsx</t>
  </si>
  <si>
    <t>Ledger filename</t>
  </si>
  <si>
    <t>journal-invoice-only-ledger.csv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</si>
  <si>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</si>
  <si>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</si>
  <si>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</si>
  <si>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</si>
  <si>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</si>
  <si>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</si>
  <si>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</si>
  <si>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</si>
  <si>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</si>
  <si>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</si>
  <si>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Type</t>
  </si>
  <si>
    <t>PO</t>
  </si>
  <si>
    <t>2026-07-17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</si>
  <si>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</si>
  <si>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</si>
  <si>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</si>
  <si>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</si>
  <si>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</si>
  <si>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</si>
  <si>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0.3.24-experimental</t>
  </si>
  <si>
    <t>Supplier SHA-256</t>
  </si>
  <si>
    <t>8fa673f654e4a8315f7dc68e481af87f8551fcac1b02bcff48fd786d5ac51019</t>
  </si>
  <si>
    <t>Ledger SHA-256</t>
  </si>
  <si>
    <t>a8219e69878d9984f61061a6bdfb834c0f76fea35f6ce35c717185810cc62aa1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</si>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</sst>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FFF0CC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1" fillId="4" borderId="0" xfId="0" applyFont="1" applyFill="1"/>
    <xf numFmtId="4" fontId="1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2" TargetMode="External"/><Relationship Id="rId2" Type="http://schemas.openxmlformats.org/officeDocument/2006/relationships/hyperlink" Target="#&apos;Needs Review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18</v>
      </c>
    </row>
    <row r="13" ht="30" customHeight="1" spans="1:2" s="3" customFormat="1" x14ac:dyDescent="0.25">
      <c r="A13" s="3" t="s">
        <v>19</v>
      </c>
      <c r="B13" s="3"/>
    </row>
    <row r="14" ht="30" customHeight="1" spans="1:2" s="3" customFormat="1" x14ac:dyDescent="0.25">
      <c r="A14" s="3" t="s">
        <v>20</v>
      </c>
      <c r="B14" s="3"/>
    </row>
    <row r="15" ht="30" customHeight="1" spans="1:2" s="3" customFormat="1" x14ac:dyDescent="0.25">
      <c r="A15" s="3" t="s">
        <v>21</v>
      </c>
      <c r="B15" s="3" t="s">
        <v>22</v>
      </c>
    </row>
    <row r="16" ht="30" customHeight="1" spans="1:2" s="3" customFormat="1" x14ac:dyDescent="0.25">
      <c r="A16" s="3" t="s">
        <v>23</v>
      </c>
      <c r="B16" s="3" t="s">
        <v>24</v>
      </c>
    </row>
    <row r="17" ht="30" customHeight="1" spans="1:2" s="3" customFormat="1" x14ac:dyDescent="0.25">
      <c r="A17" s="3" t="s">
        <v>25</v>
      </c>
      <c r="B17" s="5"/>
    </row>
    <row r="18" ht="30" customHeight="1" spans="1:2" s="3" customFormat="1" x14ac:dyDescent="0.25">
      <c r="A18" s="3" t="s">
        <v>26</v>
      </c>
      <c r="B18" s="5"/>
    </row>
    <row r="19" ht="30" customHeight="1" spans="1:2" s="3" customFormat="1" x14ac:dyDescent="0.25">
      <c r="A19" s="3" t="s">
        <v>27</v>
      </c>
      <c r="B19" s="5"/>
    </row>
    <row r="20" ht="30" customHeight="1" spans="1:2" s="3" customFormat="1" x14ac:dyDescent="0.25">
      <c r="A20" s="3" t="s">
        <v>28</v>
      </c>
      <c r="B20" s="5"/>
    </row>
    <row r="21" ht="30" customHeight="1" spans="1:2" s="3" customFormat="1" x14ac:dyDescent="0.25">
      <c r="A21" s="3" t="s">
        <v>29</v>
      </c>
      <c r="B21" s="5"/>
    </row>
    <row r="22" ht="30" customHeight="1" spans="1:2" s="3" customFormat="1" x14ac:dyDescent="0.25">
      <c r="A22" s="3" t="s">
        <v>30</v>
      </c>
      <c r="B22" s="5"/>
    </row>
    <row r="23" ht="30" customHeight="1" spans="1:2" s="3" customFormat="1" x14ac:dyDescent="0.25">
      <c r="A23" s="3" t="s">
        <v>31</v>
      </c>
      <c r="B23" s="3" t="s">
        <v>32</v>
      </c>
    </row>
    <row r="24" ht="30" customHeight="1" spans="1:2" s="3" customFormat="1" x14ac:dyDescent="0.25">
      <c r="A24" s="3" t="s">
        <v>33</v>
      </c>
      <c r="B24" s="3" t="s">
        <v>32</v>
      </c>
    </row>
    <row r="25" ht="30" customHeight="1" spans="1:2" s="3" customFormat="1" x14ac:dyDescent="0.25">
      <c r="A25" s="3" t="s">
        <v>34</v>
      </c>
      <c r="B25" s="3" t="s">
        <v>35</v>
      </c>
    </row>
    <row r="26" ht="30" customHeight="1" spans="1:2" s="3" customFormat="1" x14ac:dyDescent="0.25">
      <c r="A26" s="3" t="s">
        <v>36</v>
      </c>
      <c r="B26" s="3" t="s">
        <v>35</v>
      </c>
    </row>
    <row r="27" ht="30" customHeight="1" spans="1:2" s="3" customFormat="1" x14ac:dyDescent="0.25">
      <c r="A27" s="3" t="s">
        <v>37</v>
      </c>
      <c r="B27" s="3" t="s">
        <v>38</v>
      </c>
    </row>
    <row r="28" ht="30" customHeight="1" spans="1:2" s="3" customFormat="1" x14ac:dyDescent="0.25">
      <c r="A28" s="3" t="s">
        <v>39</v>
      </c>
      <c r="B28" s="6">
        <f>COUNTIF('Matches'!Q2:Q2,"Auto")</f>
        <v>0</v>
      </c>
    </row>
    <row r="29" ht="30" customHeight="1" spans="1:2" s="3" customFormat="1" x14ac:dyDescent="0.25">
      <c r="A29" s="3" t="s">
        <v>40</v>
      </c>
      <c r="B29" s="6">
        <f>SUM('Matches'!O2:P2)</f>
        <v>0</v>
      </c>
    </row>
    <row r="30" ht="30" customHeight="1" spans="1:2" s="3" customFormat="1" x14ac:dyDescent="0.25">
      <c r="A30" s="3" t="s">
        <v>41</v>
      </c>
      <c r="B30" s="6">
        <f>COUNTIF('Needs Review'!M2:M3,"Needs Review")</f>
        <v>2</v>
      </c>
    </row>
    <row r="31" ht="30" customHeight="1" spans="1:2" s="3" customFormat="1" x14ac:dyDescent="0.25">
      <c r="A31" s="3" t="s">
        <v>42</v>
      </c>
      <c r="B31" s="6">
        <f>SUMIF('Needs Review'!M2:M3,"Needs Review",'Needs Review'!N2:N3)+SUMIF('Needs Review'!M2:M3,"Needs Review",'Needs Review'!O2:O3)</f>
        <v>2</v>
      </c>
    </row>
    <row r="32" ht="30" customHeight="1" spans="1:2" s="3" customFormat="1" x14ac:dyDescent="0.25">
      <c r="A32" s="3" t="s">
        <v>43</v>
      </c>
      <c r="B32" s="6">
        <f>COUNTA('Unmatched'!A2:A2)</f>
        <v>0</v>
      </c>
    </row>
    <row r="33" ht="30" customHeight="1" spans="1:2" s="3" customFormat="1" x14ac:dyDescent="0.25">
      <c r="A33" s="3" t="s">
        <v>44</v>
      </c>
      <c r="B33" s="6">
        <f>SUM('Unmatched'!K2:K2)</f>
        <v>0</v>
      </c>
    </row>
    <row r="34" ht="30" customHeight="1" spans="1:2" s="3" customFormat="1" x14ac:dyDescent="0.25">
      <c r="A34" s="3" t="s">
        <v>45</v>
      </c>
      <c r="B34" s="3">
        <f>COUNTIF('Matches'!Q2:Q2,"Manual")</f>
        <v>0</v>
      </c>
    </row>
    <row r="35" ht="30" customHeight="1" spans="1:2" s="3" customFormat="1" x14ac:dyDescent="0.25">
      <c r="A35" s="3" t="s">
        <v>46</v>
      </c>
      <c r="B35" s="3">
        <f>COUNTIF('Needs Review'!M2:M3,"Rejected")</f>
        <v>0</v>
      </c>
    </row>
    <row r="36" ht="30" customHeight="1" spans="1:2" s="3" customFormat="1" x14ac:dyDescent="0.25">
      <c r="A36" s="3" t="s">
        <v>47</v>
      </c>
      <c r="B36" s="5">
        <f>'Reconciliation Bridge'!E5</f>
        <v>0</v>
      </c>
    </row>
    <row r="37" ht="30" customHeight="1" spans="1:2" s="3" customFormat="1" x14ac:dyDescent="0.25">
      <c r="A37" s="3" t="s">
        <v>48</v>
      </c>
      <c r="B37" s="5"/>
    </row>
    <row r="38" ht="30" customHeight="1" spans="1:2" s="3" customFormat="1" x14ac:dyDescent="0.25">
      <c r="A38" s="3" t="s">
        <v>49</v>
      </c>
      <c r="B38" s="5"/>
    </row>
    <row r="39" ht="30" customHeight="1" spans="1:2" s="3" customFormat="1" x14ac:dyDescent="0.25">
      <c r="A39" s="3" t="s">
        <v>50</v>
      </c>
      <c r="B39" s="3" t="s">
        <v>51</v>
      </c>
    </row>
    <row r="40" ht="30" customHeight="1" spans="1:2" s="3" customFormat="1" x14ac:dyDescent="0.25">
      <c r="A40" s="3" t="s">
        <v>52</v>
      </c>
      <c r="B40" s="6" t="s">
        <v>53</v>
      </c>
    </row>
    <row r="41" ht="30" customHeight="1" spans="1:2" s="3" customFormat="1" x14ac:dyDescent="0.25">
      <c r="A41" s="3" t="s">
        <v>54</v>
      </c>
      <c r="B41" s="3" t="s">
        <v>55</v>
      </c>
    </row>
    <row r="42" ht="30" customHeight="1" spans="1:2" s="3" customFormat="1" x14ac:dyDescent="0.25">
      <c r="A42" s="3" t="s">
        <v>56</v>
      </c>
      <c r="B42" s="3" t="s">
        <v>57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</cols>
  <sheetData>
    <row r="1" ht="32" customHeight="1" spans="1:17" s="1" customFormat="1" x14ac:dyDescent="0.25">
      <c r="A1" s="2" t="s">
        <v>58</v>
      </c>
      <c r="B1" s="2" t="s">
        <v>59</v>
      </c>
      <c r="C1" s="2" t="s">
        <v>60</v>
      </c>
      <c r="D1" s="2" t="s">
        <v>61</v>
      </c>
      <c r="E1" s="8" t="s">
        <v>62</v>
      </c>
      <c r="F1" s="2" t="s">
        <v>63</v>
      </c>
      <c r="G1" s="2" t="s">
        <v>64</v>
      </c>
      <c r="H1" s="8" t="s">
        <v>65</v>
      </c>
      <c r="I1" s="2" t="s">
        <v>66</v>
      </c>
      <c r="J1" s="2" t="s">
        <v>67</v>
      </c>
      <c r="K1" s="2" t="s">
        <v>68</v>
      </c>
      <c r="L1" s="2" t="s">
        <v>69</v>
      </c>
      <c r="M1" s="2" t="s">
        <v>70</v>
      </c>
      <c r="N1" s="2" t="s">
        <v>71</v>
      </c>
      <c r="O1" s="2" t="s">
        <v>72</v>
      </c>
      <c r="P1" s="2" t="s">
        <v>73</v>
      </c>
      <c r="Q1" s="2" t="s">
        <v>74</v>
      </c>
    </row>
  </sheetData>
  <autoFilter ref="A1:Q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  <col min="16" max="17" width="30" customWidth="1"/>
  </cols>
  <sheetData>
    <row r="1" ht="32" customHeight="1" spans="1:17" s="1" customFormat="1" x14ac:dyDescent="0.25">
      <c r="A1" s="2" t="s">
        <v>58</v>
      </c>
      <c r="B1" s="2" t="s">
        <v>75</v>
      </c>
      <c r="C1" s="2" t="s">
        <v>76</v>
      </c>
      <c r="D1" s="2" t="s">
        <v>77</v>
      </c>
      <c r="E1" s="8" t="s">
        <v>78</v>
      </c>
      <c r="F1" s="8" t="s">
        <v>79</v>
      </c>
      <c r="G1" s="8" t="s">
        <v>80</v>
      </c>
      <c r="H1" s="2" t="s">
        <v>69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70</v>
      </c>
      <c r="N1" s="2" t="s">
        <v>72</v>
      </c>
      <c r="O1" s="2" t="s">
        <v>73</v>
      </c>
      <c r="P1" s="2" t="s">
        <v>85</v>
      </c>
      <c r="Q1" s="2" t="s">
        <v>86</v>
      </c>
    </row>
    <row r="2" ht="42" customHeight="1" spans="1:17" s="9" customFormat="1" x14ac:dyDescent="0.25">
      <c r="A2" s="10" t="s">
        <v>87</v>
      </c>
      <c r="B2" s="10" t="s">
        <v>88</v>
      </c>
      <c r="C2" s="10" t="s">
        <v>89</v>
      </c>
      <c r="D2" s="9"/>
      <c r="E2" s="11">
        <v>-50</v>
      </c>
      <c r="F2" s="11">
        <v>0</v>
      </c>
      <c r="G2" s="11">
        <v>-50</v>
      </c>
      <c r="H2" s="10" t="s">
        <v>90</v>
      </c>
      <c r="I2" s="10" t="s">
        <v>91</v>
      </c>
      <c r="J2" s="10" t="s">
        <v>92</v>
      </c>
      <c r="K2" s="10" t="s">
        <v>93</v>
      </c>
      <c r="L2" s="9"/>
      <c r="M2" s="10" t="s">
        <v>94</v>
      </c>
      <c r="N2" s="10">
        <v>1</v>
      </c>
      <c r="O2" s="10">
        <v>0</v>
      </c>
      <c r="P2" s="12" t="s">
        <v>95</v>
      </c>
      <c r="Q2" s="9"/>
    </row>
    <row r="3" ht="42" customHeight="1" spans="1:17" s="9" customFormat="1" x14ac:dyDescent="0.25">
      <c r="A3" s="10" t="s">
        <v>96</v>
      </c>
      <c r="B3" s="10" t="s">
        <v>97</v>
      </c>
      <c r="C3" s="9"/>
      <c r="D3" s="10" t="s">
        <v>98</v>
      </c>
      <c r="E3" s="11">
        <v>0</v>
      </c>
      <c r="F3" s="11">
        <v>-50</v>
      </c>
      <c r="G3" s="11">
        <v>50</v>
      </c>
      <c r="H3" s="10" t="s">
        <v>99</v>
      </c>
      <c r="I3" s="10" t="s">
        <v>91</v>
      </c>
      <c r="J3" s="10" t="s">
        <v>92</v>
      </c>
      <c r="K3" s="10" t="s">
        <v>93</v>
      </c>
      <c r="L3" s="9"/>
      <c r="M3" s="10" t="s">
        <v>94</v>
      </c>
      <c r="N3" s="10">
        <v>0</v>
      </c>
      <c r="O3" s="10">
        <v>1</v>
      </c>
      <c r="P3" s="9"/>
      <c r="Q3" s="12" t="s">
        <v>100</v>
      </c>
    </row>
  </sheetData>
  <autoFilter ref="A1:Q3"/>
  <hyperlinks>
    <hyperlink ref="P2" r:id="rId1" location="#'Parsed Supplier Source'!A3"/>
    <hyperlink ref="Q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58</v>
      </c>
      <c r="B1" s="2" t="s">
        <v>101</v>
      </c>
      <c r="C1" s="2" t="s">
        <v>102</v>
      </c>
      <c r="D1" s="2" t="s">
        <v>103</v>
      </c>
      <c r="E1" s="2" t="s">
        <v>104</v>
      </c>
      <c r="F1" s="2" t="s">
        <v>105</v>
      </c>
      <c r="G1" s="2" t="s">
        <v>106</v>
      </c>
      <c r="H1" s="8" t="s">
        <v>107</v>
      </c>
      <c r="I1" s="2" t="s">
        <v>108</v>
      </c>
      <c r="J1" s="2" t="s">
        <v>109</v>
      </c>
      <c r="K1" s="2" t="s">
        <v>110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58</v>
      </c>
      <c r="B1" s="2" t="s">
        <v>75</v>
      </c>
      <c r="C1" s="8" t="s">
        <v>62</v>
      </c>
      <c r="D1" s="8" t="s">
        <v>65</v>
      </c>
      <c r="E1" s="8" t="s">
        <v>111</v>
      </c>
      <c r="F1" s="2" t="s">
        <v>112</v>
      </c>
      <c r="G1" s="2" t="s">
        <v>113</v>
      </c>
      <c r="H1" s="2" t="s">
        <v>114</v>
      </c>
    </row>
    <row r="2" ht="42" customHeight="1" spans="1:8" x14ac:dyDescent="0.25">
      <c r="A2" s="3" t="s">
        <v>87</v>
      </c>
      <c r="B2" s="3" t="s">
        <v>88</v>
      </c>
      <c r="C2" s="13">
        <v>-50</v>
      </c>
      <c r="D2" s="13">
        <v>0</v>
      </c>
      <c r="E2" s="13">
        <v>50</v>
      </c>
      <c r="F2" s="3" t="s">
        <v>90</v>
      </c>
      <c r="G2" s="3" t="s">
        <v>94</v>
      </c>
      <c r="H2" s="14" t="s">
        <v>115</v>
      </c>
    </row>
    <row r="3" ht="42" customHeight="1" spans="1:8" x14ac:dyDescent="0.25">
      <c r="A3" s="3" t="s">
        <v>96</v>
      </c>
      <c r="B3" s="3" t="s">
        <v>97</v>
      </c>
      <c r="C3" s="13">
        <v>0</v>
      </c>
      <c r="D3" s="13">
        <v>-50</v>
      </c>
      <c r="E3" s="13">
        <v>-50</v>
      </c>
      <c r="F3" s="3" t="s">
        <v>99</v>
      </c>
      <c r="G3" s="3" t="s">
        <v>94</v>
      </c>
      <c r="H3" s="14" t="s">
        <v>116</v>
      </c>
    </row>
    <row r="5" ht="32" customHeight="1" spans="4:5" x14ac:dyDescent="0.25">
      <c r="D5" s="15" t="s">
        <v>47</v>
      </c>
      <c r="E5" s="7">
        <f>SUM(E2:E3)</f>
        <v>0</v>
      </c>
    </row>
    <row r="6" ht="32" customHeight="1" spans="4:5" x14ac:dyDescent="0.25">
      <c r="D6" s="15" t="s">
        <v>27</v>
      </c>
      <c r="E6" s="7"/>
    </row>
    <row r="7" ht="32" customHeight="1" spans="4:5" x14ac:dyDescent="0.25">
      <c r="D7" s="15" t="s">
        <v>48</v>
      </c>
      <c r="E7" s="7"/>
    </row>
    <row r="8" ht="32" customHeight="1" spans="4:5" x14ac:dyDescent="0.25">
      <c r="D8" s="15" t="s">
        <v>28</v>
      </c>
      <c r="E8" s="7"/>
    </row>
    <row r="9" ht="32" customHeight="1" spans="4:5" x14ac:dyDescent="0.25">
      <c r="D9" s="15" t="s">
        <v>49</v>
      </c>
      <c r="E9" s="7"/>
    </row>
    <row r="11" spans="1:8" x14ac:dyDescent="0.25">
      <c r="A11" s="16" t="s">
        <v>117</v>
      </c>
      <c r="B11" s="16"/>
      <c r="C11" s="16"/>
      <c r="D11" s="16"/>
      <c r="E11" s="16"/>
      <c r="F11" s="16"/>
      <c r="G11" s="16"/>
      <c r="H11" s="16"/>
    </row>
    <row r="12" spans="1:8" x14ac:dyDescent="0.25">
      <c r="A12" s="16"/>
      <c r="B12" s="16"/>
      <c r="C12" s="16"/>
      <c r="D12" s="16"/>
      <c r="E12" s="16"/>
      <c r="F12" s="16"/>
      <c r="G12" s="16"/>
      <c r="H12" s="16"/>
    </row>
  </sheetData>
  <autoFilter ref="A1:H3"/>
  <mergeCells count="1">
    <mergeCell ref="A11:H12"/>
  </mergeCells>
  <hyperlinks>
    <hyperlink ref="H2" r:id="rId1" location="#'Needs Review'!A2"/>
    <hyperlink ref="H3" r:id="rId2" location="#'Needs Review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118</v>
      </c>
    </row>
    <row r="3" ht="42" customHeight="1" spans="1:2" x14ac:dyDescent="0.25">
      <c r="A3" s="3" t="s">
        <v>119</v>
      </c>
    </row>
    <row r="4" ht="42" customHeight="1" spans="1:2" x14ac:dyDescent="0.25">
      <c r="A4" s="3" t="s">
        <v>120</v>
      </c>
      <c r="B4" s="3" t="s">
        <v>121</v>
      </c>
    </row>
    <row r="5" ht="42" customHeight="1" spans="1:2" x14ac:dyDescent="0.25">
      <c r="A5" s="3" t="s">
        <v>122</v>
      </c>
      <c r="B5" s="3" t="s">
        <v>93</v>
      </c>
    </row>
    <row r="6" ht="42" customHeight="1" spans="1:2" x14ac:dyDescent="0.25">
      <c r="A6" s="3" t="s">
        <v>123</v>
      </c>
      <c r="B6" s="3" t="s">
        <v>124</v>
      </c>
    </row>
    <row r="7" ht="42" customHeight="1" spans="1:2" x14ac:dyDescent="0.25">
      <c r="A7" s="3" t="s">
        <v>125</v>
      </c>
    </row>
    <row r="8" ht="42" customHeight="1" spans="1:2" x14ac:dyDescent="0.25">
      <c r="A8" s="3" t="s">
        <v>2</v>
      </c>
      <c r="B8" s="3" t="s">
        <v>126</v>
      </c>
    </row>
    <row r="9" ht="42" customHeight="1" spans="1:2" x14ac:dyDescent="0.25">
      <c r="A9" s="3" t="s">
        <v>127</v>
      </c>
      <c r="B9" s="14" t="s">
        <v>128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1" customWidth="1"/>
    <col min="2" max="2" width="45" customWidth="1"/>
    <col min="3" max="3" width="16" customWidth="1"/>
  </cols>
  <sheetData>
    <row r="1" ht="28" customHeight="1" spans="1:3" s="17" customFormat="1" x14ac:dyDescent="0.25">
      <c r="A1" s="17" t="s">
        <v>129</v>
      </c>
      <c r="B1" s="17" t="s">
        <v>130</v>
      </c>
      <c r="C1" s="17" t="s">
        <v>131</v>
      </c>
    </row>
    <row r="2" spans="1:3" s="3" customFormat="1" x14ac:dyDescent="0.25">
      <c r="A2" s="3" t="s">
        <v>132</v>
      </c>
      <c r="B2" s="3" t="s">
        <v>133</v>
      </c>
      <c r="C2" s="3" t="s">
        <v>134</v>
      </c>
    </row>
    <row r="3" spans="1:3" s="3" customFormat="1" x14ac:dyDescent="0.25">
      <c r="A3" s="3" t="s">
        <v>132</v>
      </c>
      <c r="B3" s="3" t="s">
        <v>133</v>
      </c>
      <c r="C3" s="3" t="s">
        <v>135</v>
      </c>
    </row>
    <row r="4" spans="1:3" s="3" customFormat="1" x14ac:dyDescent="0.25">
      <c r="A4" s="3" t="s">
        <v>32</v>
      </c>
      <c r="B4" s="3" t="s">
        <v>136</v>
      </c>
      <c r="C4" s="3" t="s">
        <v>137</v>
      </c>
    </row>
    <row r="5" spans="1:3" s="3" customFormat="1" x14ac:dyDescent="0.25">
      <c r="A5" s="3" t="s">
        <v>38</v>
      </c>
      <c r="B5" s="3" t="s">
        <v>138</v>
      </c>
      <c r="C5" s="3" t="s">
        <v>137</v>
      </c>
    </row>
    <row r="6" spans="1:3" s="3" customFormat="1" x14ac:dyDescent="0.25">
      <c r="A6" s="3" t="s">
        <v>32</v>
      </c>
      <c r="B6" s="3" t="s">
        <v>139</v>
      </c>
      <c r="C6" s="3" t="s">
        <v>137</v>
      </c>
    </row>
    <row r="7" spans="1:3" s="3" customFormat="1" x14ac:dyDescent="0.25">
      <c r="A7" s="3" t="s">
        <v>38</v>
      </c>
      <c r="B7" s="3" t="s">
        <v>140</v>
      </c>
      <c r="C7" s="3" t="s">
        <v>137</v>
      </c>
    </row>
    <row r="8" spans="1:3" s="3" customFormat="1" x14ac:dyDescent="0.25">
      <c r="A8" s="3" t="s">
        <v>88</v>
      </c>
      <c r="B8" s="3" t="s">
        <v>90</v>
      </c>
      <c r="C8" s="3" t="s">
        <v>134</v>
      </c>
    </row>
    <row r="9" spans="1:3" s="3" customFormat="1" x14ac:dyDescent="0.25">
      <c r="A9" s="3" t="s">
        <v>97</v>
      </c>
      <c r="B9" s="3" t="s">
        <v>99</v>
      </c>
      <c r="C9" s="3" t="s">
        <v>135</v>
      </c>
    </row>
  </sheetData>
  <autoFilter ref="A1:C9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32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39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58</v>
      </c>
      <c r="B1" s="17" t="s">
        <v>75</v>
      </c>
      <c r="C1" s="17" t="s">
        <v>70</v>
      </c>
      <c r="D1" s="17" t="s">
        <v>68</v>
      </c>
      <c r="E1" s="17" t="s">
        <v>69</v>
      </c>
      <c r="F1" s="17" t="s">
        <v>101</v>
      </c>
      <c r="G1" s="17" t="s">
        <v>141</v>
      </c>
      <c r="H1" s="17" t="s">
        <v>142</v>
      </c>
      <c r="I1" s="17" t="s">
        <v>143</v>
      </c>
      <c r="J1" s="17" t="s">
        <v>144</v>
      </c>
      <c r="K1" s="17" t="s">
        <v>102</v>
      </c>
      <c r="L1" s="17" t="s">
        <v>145</v>
      </c>
      <c r="M1" s="17" t="s">
        <v>146</v>
      </c>
      <c r="N1" s="17" t="s">
        <v>147</v>
      </c>
      <c r="O1" s="17" t="s">
        <v>148</v>
      </c>
      <c r="P1" s="17" t="s">
        <v>149</v>
      </c>
      <c r="Q1" s="17" t="s">
        <v>150</v>
      </c>
      <c r="R1" s="17" t="s">
        <v>8</v>
      </c>
      <c r="S1" s="18" t="s">
        <v>107</v>
      </c>
      <c r="T1" s="17" t="s">
        <v>109</v>
      </c>
      <c r="U1" s="17" t="s">
        <v>151</v>
      </c>
      <c r="V1" s="17" t="s">
        <v>152</v>
      </c>
      <c r="W1" s="17" t="s">
        <v>153</v>
      </c>
      <c r="X1" s="17" t="s">
        <v>154</v>
      </c>
      <c r="Y1" s="17" t="s">
        <v>155</v>
      </c>
      <c r="Z1" s="17" t="s">
        <v>156</v>
      </c>
      <c r="AA1" s="17" t="s">
        <v>103</v>
      </c>
      <c r="AB1" s="17" t="s">
        <v>157</v>
      </c>
      <c r="AC1" s="17" t="s">
        <v>158</v>
      </c>
      <c r="AD1" s="17" t="s">
        <v>159</v>
      </c>
      <c r="AE1" s="17" t="s">
        <v>160</v>
      </c>
    </row>
    <row r="2" spans="1:31" s="3" customFormat="1" x14ac:dyDescent="0.25">
      <c r="A2" s="3" t="s">
        <v>87</v>
      </c>
      <c r="B2" s="3" t="s">
        <v>88</v>
      </c>
      <c r="C2" s="3" t="s">
        <v>94</v>
      </c>
      <c r="D2" s="3" t="s">
        <v>161</v>
      </c>
      <c r="E2" s="3" t="s">
        <v>90</v>
      </c>
      <c r="F2" s="3" t="s">
        <v>162</v>
      </c>
      <c r="G2" s="3" t="s">
        <v>134</v>
      </c>
      <c r="H2" s="3" t="s">
        <v>163</v>
      </c>
      <c r="I2" s="3">
        <v>2</v>
      </c>
      <c r="J2" s="3" t="s">
        <v>137</v>
      </c>
      <c r="K2" s="4">
        <v>46220</v>
      </c>
      <c r="L2" s="3" t="s">
        <v>137</v>
      </c>
      <c r="M2" s="3" t="s">
        <v>137</v>
      </c>
      <c r="N2" s="3" t="s">
        <v>137</v>
      </c>
      <c r="O2" s="3" t="s">
        <v>137</v>
      </c>
      <c r="P2" s="3" t="s">
        <v>137</v>
      </c>
      <c r="Q2" s="3" t="s">
        <v>137</v>
      </c>
      <c r="R2" s="3" t="s">
        <v>9</v>
      </c>
      <c r="S2" s="13">
        <v>-50</v>
      </c>
      <c r="T2" s="3" t="s">
        <v>95</v>
      </c>
      <c r="U2" s="3" t="s">
        <v>137</v>
      </c>
      <c r="V2" s="3" t="s">
        <v>137</v>
      </c>
      <c r="W2" s="3" t="s">
        <v>164</v>
      </c>
      <c r="X2" s="3" t="s">
        <v>137</v>
      </c>
      <c r="Y2" s="3" t="s">
        <v>137</v>
      </c>
      <c r="Z2" s="3" t="s">
        <v>137</v>
      </c>
      <c r="AA2" s="3" t="s">
        <v>165</v>
      </c>
      <c r="AB2" s="3" t="s">
        <v>166</v>
      </c>
      <c r="AC2" s="3" t="s">
        <v>167</v>
      </c>
      <c r="AD2" s="3">
        <v>2</v>
      </c>
      <c r="AE2" s="3" t="s">
        <v>168</v>
      </c>
    </row>
    <row r="3" spans="1:31" s="3" customFormat="1" x14ac:dyDescent="0.25">
      <c r="A3" s="3" t="s">
        <v>96</v>
      </c>
      <c r="B3" s="3" t="s">
        <v>97</v>
      </c>
      <c r="C3" s="3" t="s">
        <v>94</v>
      </c>
      <c r="D3" s="3" t="s">
        <v>169</v>
      </c>
      <c r="E3" s="3" t="s">
        <v>99</v>
      </c>
      <c r="F3" s="3" t="s">
        <v>170</v>
      </c>
      <c r="G3" s="3" t="s">
        <v>135</v>
      </c>
      <c r="H3" s="3" t="s">
        <v>18</v>
      </c>
      <c r="I3" s="3">
        <v>2</v>
      </c>
      <c r="J3" s="3" t="s">
        <v>137</v>
      </c>
      <c r="K3" s="4">
        <v>46220</v>
      </c>
      <c r="L3" s="3" t="s">
        <v>137</v>
      </c>
      <c r="M3" s="3" t="s">
        <v>137</v>
      </c>
      <c r="N3" s="3" t="s">
        <v>137</v>
      </c>
      <c r="O3" s="3" t="s">
        <v>137</v>
      </c>
      <c r="P3" s="3" t="s">
        <v>137</v>
      </c>
      <c r="Q3" s="3" t="s">
        <v>137</v>
      </c>
      <c r="R3" s="3" t="s">
        <v>9</v>
      </c>
      <c r="S3" s="13">
        <v>-50</v>
      </c>
      <c r="T3" s="3" t="s">
        <v>100</v>
      </c>
      <c r="U3" s="3" t="s">
        <v>137</v>
      </c>
      <c r="V3" s="3" t="s">
        <v>137</v>
      </c>
      <c r="W3" s="3" t="s">
        <v>164</v>
      </c>
      <c r="X3" s="3" t="s">
        <v>137</v>
      </c>
      <c r="Y3" s="3" t="s">
        <v>137</v>
      </c>
      <c r="Z3" s="3" t="s">
        <v>137</v>
      </c>
      <c r="AA3" s="3" t="s">
        <v>165</v>
      </c>
      <c r="AB3" s="3" t="s">
        <v>166</v>
      </c>
      <c r="AC3" s="3" t="s">
        <v>167</v>
      </c>
      <c r="AD3" s="3">
        <v>2</v>
      </c>
      <c r="AE3" s="3" t="s">
        <v>168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17" customFormat="1" x14ac:dyDescent="0.25">
      <c r="A1" s="17" t="s">
        <v>171</v>
      </c>
      <c r="B1" s="17" t="s">
        <v>172</v>
      </c>
      <c r="C1" s="17" t="s">
        <v>173</v>
      </c>
      <c r="D1" s="17" t="s">
        <v>84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174</v>
      </c>
      <c r="B1" s="17" t="s">
        <v>175</v>
      </c>
      <c r="C1" s="17" t="s">
        <v>176</v>
      </c>
      <c r="D1" s="17" t="s">
        <v>177</v>
      </c>
      <c r="E1" s="17" t="s">
        <v>178</v>
      </c>
      <c r="F1" s="17" t="s">
        <v>179</v>
      </c>
      <c r="G1" s="17" t="s">
        <v>180</v>
      </c>
      <c r="H1" s="18" t="s">
        <v>181</v>
      </c>
      <c r="I1" s="17" t="s">
        <v>182</v>
      </c>
      <c r="J1" s="17" t="s">
        <v>183</v>
      </c>
    </row>
    <row r="2" spans="1:10" s="3" customFormat="1" x14ac:dyDescent="0.25">
      <c r="A2" s="3" t="s">
        <v>134</v>
      </c>
      <c r="B2" s="3" t="s">
        <v>163</v>
      </c>
      <c r="C2" s="3">
        <v>2</v>
      </c>
      <c r="D2" s="4">
        <v>46220</v>
      </c>
      <c r="E2" s="3" t="s">
        <v>137</v>
      </c>
      <c r="F2" s="3" t="s">
        <v>137</v>
      </c>
      <c r="G2" s="3" t="s">
        <v>137</v>
      </c>
      <c r="H2" s="13">
        <v>-50</v>
      </c>
      <c r="I2" s="3" t="s">
        <v>184</v>
      </c>
      <c r="J2" s="3" t="s">
        <v>137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174</v>
      </c>
      <c r="B1" s="17" t="s">
        <v>175</v>
      </c>
      <c r="C1" s="17" t="s">
        <v>176</v>
      </c>
      <c r="D1" s="17" t="s">
        <v>177</v>
      </c>
      <c r="E1" s="17" t="s">
        <v>178</v>
      </c>
      <c r="F1" s="17" t="s">
        <v>179</v>
      </c>
      <c r="G1" s="17" t="s">
        <v>180</v>
      </c>
      <c r="H1" s="18" t="s">
        <v>181</v>
      </c>
      <c r="I1" s="17" t="s">
        <v>182</v>
      </c>
      <c r="J1" s="17" t="s">
        <v>183</v>
      </c>
    </row>
    <row r="2" spans="1:10" s="3" customFormat="1" x14ac:dyDescent="0.25">
      <c r="A2" s="3" t="s">
        <v>135</v>
      </c>
      <c r="B2" s="3" t="s">
        <v>18</v>
      </c>
      <c r="C2" s="3">
        <v>2</v>
      </c>
      <c r="D2" s="4">
        <v>46220</v>
      </c>
      <c r="E2" s="3" t="s">
        <v>137</v>
      </c>
      <c r="F2" s="3" t="s">
        <v>137</v>
      </c>
      <c r="G2" s="3" t="s">
        <v>137</v>
      </c>
      <c r="H2" s="13">
        <v>-50</v>
      </c>
      <c r="I2" s="3" t="s">
        <v>184</v>
      </c>
      <c r="J2" s="3" t="s">
        <v>137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185</v>
      </c>
      <c r="B1" s="17" t="s">
        <v>176</v>
      </c>
      <c r="C1" s="17" t="s">
        <v>186</v>
      </c>
      <c r="D1" s="17" t="s">
        <v>187</v>
      </c>
    </row>
    <row r="2" spans="1:4" s="3" customFormat="1" x14ac:dyDescent="0.25">
      <c r="A2" s="3" t="s">
        <v>188</v>
      </c>
      <c r="B2" s="3">
        <v>1</v>
      </c>
      <c r="C2" s="3" t="s">
        <v>189</v>
      </c>
      <c r="D2" s="3" t="s">
        <v>190</v>
      </c>
    </row>
    <row r="3" spans="1:4" s="3" customFormat="1" x14ac:dyDescent="0.25">
      <c r="A3" s="3" t="s">
        <v>191</v>
      </c>
      <c r="B3" s="3">
        <v>1</v>
      </c>
      <c r="C3" s="3" t="s">
        <v>189</v>
      </c>
      <c r="D3" s="3" t="s">
        <v>190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192</v>
      </c>
      <c r="B1" s="17" t="s">
        <v>193</v>
      </c>
    </row>
    <row r="2" spans="1:2" s="3" customFormat="1" x14ac:dyDescent="0.25">
      <c r="A2" s="3" t="s">
        <v>194</v>
      </c>
      <c r="B2" s="3" t="s">
        <v>195</v>
      </c>
    </row>
    <row r="3" spans="1:2" s="3" customFormat="1" x14ac:dyDescent="0.25">
      <c r="A3" s="3" t="s">
        <v>196</v>
      </c>
      <c r="B3" s="3" t="s">
        <v>197</v>
      </c>
    </row>
    <row r="4" spans="1:2" s="3" customFormat="1" x14ac:dyDescent="0.25">
      <c r="A4" s="3" t="s">
        <v>198</v>
      </c>
      <c r="B4" s="3" t="s">
        <v>199</v>
      </c>
    </row>
    <row r="5" spans="1:2" s="3" customFormat="1" x14ac:dyDescent="0.25">
      <c r="A5" s="3" t="s">
        <v>200</v>
      </c>
      <c r="B5" s="3" t="s">
        <v>201</v>
      </c>
    </row>
    <row r="6" spans="1:2" s="3" customFormat="1" x14ac:dyDescent="0.25">
      <c r="A6" s="3" t="s">
        <v>202</v>
      </c>
      <c r="B6" s="3" t="s">
        <v>201</v>
      </c>
    </row>
    <row r="7" spans="1:2" s="3" customFormat="1" x14ac:dyDescent="0.25">
      <c r="A7" s="3" t="s">
        <v>203</v>
      </c>
      <c r="B7" s="3" t="s">
        <v>204</v>
      </c>
    </row>
    <row r="8" spans="1:2" s="3" customFormat="1" x14ac:dyDescent="0.25">
      <c r="A8" s="3" t="s">
        <v>205</v>
      </c>
      <c r="B8" s="3" t="s">
        <v>204</v>
      </c>
    </row>
    <row r="9" spans="1:2" s="3" customFormat="1" x14ac:dyDescent="0.25">
      <c r="A9" s="3" t="s">
        <v>206</v>
      </c>
      <c r="B9" s="3" t="s">
        <v>207</v>
      </c>
    </row>
    <row r="10" spans="1:2" s="3" customFormat="1" x14ac:dyDescent="0.25">
      <c r="A10" s="3" t="s">
        <v>208</v>
      </c>
      <c r="B10" s="3" t="s">
        <v>207</v>
      </c>
    </row>
    <row r="11" spans="1:2" s="3" customFormat="1" x14ac:dyDescent="0.25">
      <c r="A11" s="3" t="s">
        <v>209</v>
      </c>
      <c r="B11" s="3" t="s">
        <v>210</v>
      </c>
    </row>
    <row r="12" spans="1:2" s="3" customFormat="1" x14ac:dyDescent="0.25">
      <c r="A12" s="3" t="s">
        <v>211</v>
      </c>
      <c r="B12" s="3" t="s">
        <v>212</v>
      </c>
    </row>
    <row r="13" spans="1:2" s="3" customFormat="1" x14ac:dyDescent="0.25">
      <c r="A13" s="3" t="s">
        <v>213</v>
      </c>
      <c r="B13" s="3" t="s">
        <v>214</v>
      </c>
    </row>
    <row r="14" spans="1:2" s="3" customFormat="1" x14ac:dyDescent="0.25">
      <c r="A14" s="3" t="s">
        <v>215</v>
      </c>
      <c r="B14" s="3" t="s">
        <v>137</v>
      </c>
    </row>
    <row r="15" spans="1:2" s="3" customFormat="1" x14ac:dyDescent="0.25">
      <c r="A15" s="3" t="s">
        <v>216</v>
      </c>
      <c r="B15" s="3" t="s">
        <v>137</v>
      </c>
    </row>
    <row r="16" spans="1:2" s="3" customFormat="1" x14ac:dyDescent="0.25">
      <c r="A16" s="3" t="s">
        <v>217</v>
      </c>
      <c r="B16" s="3" t="s">
        <v>218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176</v>
      </c>
      <c r="B1" s="17" t="s">
        <v>219</v>
      </c>
      <c r="C1" s="17" t="s">
        <v>220</v>
      </c>
      <c r="D1" s="17" t="s">
        <v>221</v>
      </c>
      <c r="E1" s="17" t="s">
        <v>222</v>
      </c>
      <c r="F1" s="17" t="s">
        <v>223</v>
      </c>
      <c r="G1" s="17" t="s">
        <v>224</v>
      </c>
    </row>
    <row r="2" spans="1:7" s="3" customFormat="1" x14ac:dyDescent="0.25">
      <c r="A2" s="3">
        <v>1</v>
      </c>
      <c r="B2" s="3" t="s">
        <v>102</v>
      </c>
      <c r="C2" s="3" t="s">
        <v>167</v>
      </c>
      <c r="D2" s="3" t="s">
        <v>225</v>
      </c>
      <c r="E2" s="3" t="s">
        <v>107</v>
      </c>
      <c r="F2" s="3" t="s">
        <v>226</v>
      </c>
      <c r="G2" s="3" t="s">
        <v>149</v>
      </c>
    </row>
    <row r="3" spans="1:7" s="3" customFormat="1" x14ac:dyDescent="0.25">
      <c r="A3" s="3">
        <v>2</v>
      </c>
      <c r="B3" s="3" t="s">
        <v>227</v>
      </c>
      <c r="C3" s="3" t="s">
        <v>166</v>
      </c>
      <c r="D3" s="3" t="s">
        <v>165</v>
      </c>
      <c r="E3" s="3" t="s">
        <v>184</v>
      </c>
      <c r="F3" s="3" t="s">
        <v>137</v>
      </c>
      <c r="G3" s="3" t="s">
        <v>137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176</v>
      </c>
      <c r="B1" s="17" t="s">
        <v>219</v>
      </c>
      <c r="C1" s="17" t="s">
        <v>220</v>
      </c>
      <c r="D1" s="17" t="s">
        <v>221</v>
      </c>
      <c r="E1" s="17" t="s">
        <v>222</v>
      </c>
      <c r="F1" s="17" t="s">
        <v>223</v>
      </c>
      <c r="G1" s="17" t="s">
        <v>224</v>
      </c>
    </row>
    <row r="2" spans="1:7" s="3" customFormat="1" x14ac:dyDescent="0.25">
      <c r="A2" s="3">
        <v>1</v>
      </c>
      <c r="B2" s="3" t="s">
        <v>102</v>
      </c>
      <c r="C2" s="3" t="s">
        <v>167</v>
      </c>
      <c r="D2" s="3" t="s">
        <v>225</v>
      </c>
      <c r="E2" s="3" t="s">
        <v>107</v>
      </c>
      <c r="F2" s="3" t="s">
        <v>226</v>
      </c>
      <c r="G2" s="3" t="s">
        <v>149</v>
      </c>
    </row>
    <row r="3" spans="1:7" s="3" customFormat="1" x14ac:dyDescent="0.25">
      <c r="A3" s="3">
        <v>2</v>
      </c>
      <c r="B3" s="3" t="s">
        <v>227</v>
      </c>
      <c r="C3" s="3" t="s">
        <v>166</v>
      </c>
      <c r="D3" s="3" t="s">
        <v>165</v>
      </c>
      <c r="E3" s="3" t="s">
        <v>184</v>
      </c>
      <c r="F3" s="3" t="s">
        <v>137</v>
      </c>
      <c r="G3" s="3" t="s">
        <v>137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185</v>
      </c>
      <c r="B1" s="17" t="s">
        <v>228</v>
      </c>
      <c r="C1" s="17" t="s">
        <v>229</v>
      </c>
      <c r="D1" s="17" t="s">
        <v>230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231</v>
      </c>
      <c r="B1" s="17" t="s">
        <v>232</v>
      </c>
    </row>
    <row r="2" spans="1:2" s="3" customFormat="1" x14ac:dyDescent="0.25">
      <c r="A2" s="3" t="s">
        <v>233</v>
      </c>
      <c r="B2" s="3" t="s">
        <v>234</v>
      </c>
    </row>
    <row r="3" spans="1:2" s="3" customFormat="1" x14ac:dyDescent="0.25">
      <c r="A3" s="3" t="s">
        <v>235</v>
      </c>
      <c r="B3" s="3" t="s">
        <v>236</v>
      </c>
    </row>
    <row r="4" spans="1:2" s="3" customFormat="1" x14ac:dyDescent="0.25">
      <c r="A4" s="3" t="s">
        <v>237</v>
      </c>
      <c r="B4" s="3" t="s">
        <v>238</v>
      </c>
    </row>
    <row r="5" spans="1:2" s="3" customFormat="1" x14ac:dyDescent="0.25">
      <c r="A5" s="3" t="s">
        <v>239</v>
      </c>
      <c r="B5" s="4">
        <v>46295.63615539352</v>
      </c>
    </row>
    <row r="6" spans="1:2" s="3" customFormat="1" x14ac:dyDescent="0.25">
      <c r="A6" s="3" t="s">
        <v>240</v>
      </c>
      <c r="B6" s="3" t="s">
        <v>241</v>
      </c>
    </row>
    <row r="7" spans="1:2" s="3" customFormat="1" x14ac:dyDescent="0.25">
      <c r="A7" s="3" t="s">
        <v>242</v>
      </c>
      <c r="B7" s="3" t="s">
        <v>243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2026-09-30T15:16:03Z</dcterms:created>
  <dcterms:modified xsi:type="dcterms:W3CDTF">2026-09-30T15:16:03Z</dcterms:modified>
</cp:coreProperties>
</file>