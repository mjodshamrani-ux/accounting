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<sst xmlns="http://schemas.openxmlformats.org/spreadsheetml/2006/main" count="865" uniqueCount="354">
  <si>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</si>
  <si>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</si>
  <si>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</si>
  <si>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</si>
  <si>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</si>
  <si>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</si>
  <si>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</si>
  <si>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</si>
  <si>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</si>
  <si>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</si>
  <si>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</si>
  <si>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</si>
  <si>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</si>
  <si>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</si>
  <si>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</si>
  <si>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</si>
  <si>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</si>
  <si>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</si>
  <si>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</si>
  <si>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</si>
  <si>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</si>
  <si>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</si>
  <si>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</si>
  <si>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</si>
  <si>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</si>
  <si>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</si>
  <si>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</si>
  <si>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</si>
  <si>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</si>
  <si>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</si>
  <si>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</si>
  <si>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</si>
  <si>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</si>
  <si>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</si>
  <si>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</si>
  <si>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</si>
  <si>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</si>
  <si>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</si>
  <si>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</si>
  <si>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</si>
  <si>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</si>
  <si>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</si>
  <si>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</si>
  <si>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</si>
  <si>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</si>
  <si>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</si>
  <si>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</si>
  <si>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</si>
  <si>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</si>
  <si>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</si>
  <si>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</si>
  <si>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</si>
  <si>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</si>
  <si>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</si>
  <si>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</si>
  <si>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</si>
  <si>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</si>
  <si>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</si>
  <si>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</si>
  <si>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</si>
  <si>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</si>
  <si>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</si>
  <si>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</si>
  <si>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</si>
  <si>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</si>
  <si>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</si>
  <si>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</si>
  <si>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</si>
  <si>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</si>
  <si>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</si>
  <si>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</si>
  <si>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</si>
  <si>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</si>
  <si>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</si>
  <si>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</si>
  <si>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</si>
  <si>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</si>
  <si>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Supplier Source 2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</si>
  <si>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</si>
  <si>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</si>
  <si>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</si>
  <si>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</si>
  <si>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</si>
  <si>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</si>
  <si>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</si>
  <si>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</si>
  <si>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</si>
  <si>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</si>
  <si>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</si>
  <si>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</si>
  <si>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</si>
  <si>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</si>
  <si>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</si>
  <si>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</si>
  <si>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</si>
  <si>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CASE-AA7B3016</t>
  </si>
  <si>
    <t>M:1</t>
  </si>
  <si>
    <t>INV-932</t>
  </si>
  <si>
    <t>2 supplier / 1 ledger</t>
  </si>
  <si>
    <t>EXACT_REFERENCE_GROUP_TOTAL_V1</t>
  </si>
  <si>
    <t xml:space="preserve">مطابقة تجميعية مثبتة: المرجع INV-932 مطابق؛ 2 حركة مورد و1 حركة دفتر؛ إجمالي كل طرف 1,000.00 SAR.
نوع المستند Invoice متسق، وجميع حركات المجموعة في تاريخ واحد ضمن فرق الأيام المسموح للمطابقة؛ أمر شراء مشترك PO-41. المجموعة كاملة وفريدة، ولم يُبحث عن مجموعات جزئية.</t>
  </si>
  <si>
    <t>supplier · Statement · row 6</t>
  </si>
  <si>
    <t>supplier · Statement · row 7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</si>
  <si>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</si>
  <si>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</si>
  <si>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</si>
  <si>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</si>
  <si>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</si>
  <si>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</si>
  <si>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</si>
  <si>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</si>
  <si>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</si>
  <si>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</si>
  <si>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</si>
  <si>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</si>
  <si>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</si>
  <si>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</si>
  <si>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</si>
  <si>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</si>
  <si>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</si>
  <si>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</si>
  <si>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</si>
  <si>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</si>
  <si>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</si>
  <si>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</si>
  <si>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</si>
  <si>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</si>
  <si>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</si>
  <si>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</si>
  <si>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</si>
  <si>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</si>
  <si>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</si>
  <si>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</si>
  <si>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</si>
  <si>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</si>
  <si>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</si>
  <si>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</si>
  <si>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</si>
  <si>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</si>
  <si>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</si>
  <si>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</si>
  <si>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</si>
  <si>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</si>
  <si>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</si>
  <si>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</si>
  <si>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</si>
  <si>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</si>
  <si>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</si>
  <si>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</si>
  <si>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</si>
  <si>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</si>
  <si>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</si>
  <si>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EXACT_MANY_TO_1</t>
  </si>
  <si>
    <t>supplier:1:6 | supplier:1:7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</si>
  <si>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</si>
  <si>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</si>
  <si>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</si>
  <si>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</si>
  <si>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</si>
  <si>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</si>
  <si>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</si>
  <si>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</si>
  <si>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</si>
  <si>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</si>
  <si>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</si>
  <si>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</si>
  <si>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</si>
  <si>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</si>
  <si>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</si>
  <si>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</si>
  <si>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</si>
  <si>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</si>
  <si>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</si>
  <si>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</si>
  <si>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</si>
  <si>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</si>
  <si>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</si>
  <si>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</si>
  <si>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</si>
  <si>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</si>
  <si>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</si>
  <si>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</si>
  <si>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</si>
  <si>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</si>
  <si>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</si>
  <si>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</si>
  <si>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supplier:1:6</t>
  </si>
  <si>
    <t>PO-41</t>
  </si>
  <si>
    <t>Invoice</t>
  </si>
  <si>
    <t>supplier:1:7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</si>
  <si>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</si>
  <si>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</si>
  <si>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</si>
  <si>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</si>
  <si>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</si>
  <si>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</si>
  <si>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</si>
  <si>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</si>
  <si>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</si>
  <si>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</si>
  <si>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</si>
  <si>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</si>
  <si>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</si>
  <si>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</si>
  <si>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</si>
  <si>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</si>
  <si>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</si>
  <si>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</si>
  <si>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</si>
  <si>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</si>
  <si>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</si>
  <si>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</si>
  <si>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</si>
  <si>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</si>
  <si>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</si>
  <si>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</si>
  <si>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</si>
  <si>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</si>
  <si>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</si>
  <si>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</si>
  <si>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</si>
  <si>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</si>
  <si>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</si>
  <si>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</si>
  <si>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</si>
  <si>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</si>
  <si>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</si>
  <si>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</si>
  <si>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</si>
  <si>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</si>
  <si>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</si>
  <si>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</si>
  <si>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</si>
  <si>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</si>
  <si>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</si>
  <si>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</si>
  <si>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</si>
  <si>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</si>
  <si>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</si>
  <si>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</si>
  <si>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</si>
  <si>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</si>
  <si>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</si>
  <si>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</si>
  <si>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</si>
  <si>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</si>
  <si>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</si>
  <si>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</si>
  <si>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</si>
  <si>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</si>
  <si>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</si>
  <si>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</si>
  <si>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</si>
  <si>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</si>
  <si>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</si>
  <si>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</si>
  <si>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</si>
  <si>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</si>
  <si>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</si>
  <si>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</si>
  <si>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</si>
  <si>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</si>
  <si>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</si>
  <si>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</si>
  <si>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</si>
  <si>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</si>
  <si>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</si>
  <si>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supplier-typed-proven.xlsx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</si>
  <si>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</si>
  <si>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</si>
  <si>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</si>
  <si>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</si>
  <si>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</si>
  <si>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</si>
  <si>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</si>
  <si>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</si>
  <si>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</si>
  <si>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</si>
  <si>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</si>
  <si>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</si>
  <si>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</si>
  <si>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</si>
  <si>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</si>
  <si>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</si>
  <si>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</si>
  <si>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</si>
  <si>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</si>
  <si>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</si>
  <si>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</si>
  <si>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</si>
  <si>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</si>
  <si>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</si>
  <si>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</si>
  <si>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</si>
  <si>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</si>
  <si>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</si>
  <si>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</si>
  <si>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</si>
  <si>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</si>
  <si>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</si>
  <si>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</si>
  <si>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</si>
  <si>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</si>
  <si>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</si>
  <si>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</si>
  <si>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</si>
  <si>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</si>
  <si>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</si>
  <si>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</si>
  <si>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</si>
  <si>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</si>
  <si>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</si>
  <si>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</si>
  <si>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</si>
  <si>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</si>
  <si>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</si>
  <si>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</si>
  <si>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</si>
  <si>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</si>
  <si>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</si>
  <si>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</si>
  <si>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</si>
  <si>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</si>
  <si>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</si>
  <si>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</si>
  <si>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</si>
  <si>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</si>
  <si>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00524040245fc318d4fcba601e35fcffc55fcc1da500e88b2a93d32d6eec9ef9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</si>
  <si>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</si>
  <si>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</si>
  <si>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</si>
  <si>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</si>
  <si>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</si>
  <si>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</si>
  <si>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</si>
  <si>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</si>
  <si>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</si>
  <si>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</si>
  <si>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</si>
  <si>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</si>
  <si>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</si>
  <si>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</si>
  <si>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</si>
  <si>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</si>
  <si>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</si>
  <si>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0.3.24-experimental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</si>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</sst>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Supplier Source&apos;!A8" TargetMode="External"/><Relationship Id="rId7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COUNTIF('Matches'!Q2:Q4,"Auto")</f>
        <v>3</v>
      </c>
    </row>
    <row r="29" ht="30" customHeight="1" spans="1:2" s="3" customFormat="1" x14ac:dyDescent="0.25">
      <c r="A29" s="3" t="s">
        <v>41</v>
      </c>
      <c r="B29" s="6">
        <f>SUM('Matches'!O2:P4)</f>
        <v>7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44</v>
      </c>
      <c r="B32" s="6">
        <f>COUNTA('Unmatched'!A2:A2)</f>
        <v>0</v>
      </c>
    </row>
    <row r="33" ht="30" customHeight="1" spans="1:2" s="3" customFormat="1" x14ac:dyDescent="0.25">
      <c r="A33" s="3" t="s">
        <v>45</v>
      </c>
      <c r="B33" s="6">
        <f>SUM('Unmatched'!K2:K2)</f>
        <v>0</v>
      </c>
    </row>
    <row r="34" ht="30" customHeight="1" spans="1:2" s="3" customFormat="1" x14ac:dyDescent="0.25">
      <c r="A34" s="3" t="s">
        <v>46</v>
      </c>
      <c r="B34" s="3">
        <f>COUNTIF('Matches'!Q2:Q4,"Manual")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Bridge'!E3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20" width="30" customWidth="1"/>
  </cols>
  <sheetData>
    <row r="1" ht="32" customHeight="1" spans="1:20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</row>
    <row r="2" ht="42" customHeight="1" spans="1:20" s="9" customFormat="1" x14ac:dyDescent="0.25">
      <c r="A2" s="10" t="s">
        <v>79</v>
      </c>
      <c r="B2" s="10" t="s">
        <v>80</v>
      </c>
      <c r="C2" s="11">
        <v>46219</v>
      </c>
      <c r="D2" s="10" t="s">
        <v>81</v>
      </c>
      <c r="E2" s="12">
        <v>-350</v>
      </c>
      <c r="F2" s="11">
        <v>46219</v>
      </c>
      <c r="G2" s="10" t="s">
        <v>81</v>
      </c>
      <c r="H2" s="12">
        <v>-350</v>
      </c>
      <c r="I2" s="10" t="s">
        <v>82</v>
      </c>
      <c r="J2" s="10">
        <v>0</v>
      </c>
      <c r="K2" s="10" t="s">
        <v>83</v>
      </c>
      <c r="L2" s="10" t="s">
        <v>84</v>
      </c>
      <c r="M2" s="10" t="s">
        <v>85</v>
      </c>
      <c r="N2" s="9"/>
      <c r="O2" s="10">
        <v>1</v>
      </c>
      <c r="P2" s="10">
        <v>1</v>
      </c>
      <c r="Q2" s="10" t="s">
        <v>86</v>
      </c>
      <c r="R2" s="13" t="s">
        <v>87</v>
      </c>
      <c r="S2" s="9"/>
      <c r="T2" s="13" t="s">
        <v>88</v>
      </c>
    </row>
    <row r="3" ht="42" customHeight="1" spans="1:20" s="9" customFormat="1" x14ac:dyDescent="0.25">
      <c r="A3" s="10" t="s">
        <v>89</v>
      </c>
      <c r="B3" s="10" t="s">
        <v>80</v>
      </c>
      <c r="C3" s="11">
        <v>46220</v>
      </c>
      <c r="D3" s="10" t="s">
        <v>90</v>
      </c>
      <c r="E3" s="12">
        <v>-50</v>
      </c>
      <c r="F3" s="11">
        <v>46220</v>
      </c>
      <c r="G3" s="10" t="s">
        <v>90</v>
      </c>
      <c r="H3" s="12">
        <v>-50</v>
      </c>
      <c r="I3" s="10" t="s">
        <v>82</v>
      </c>
      <c r="J3" s="10">
        <v>0</v>
      </c>
      <c r="K3" s="10" t="s">
        <v>91</v>
      </c>
      <c r="L3" s="10" t="s">
        <v>92</v>
      </c>
      <c r="M3" s="10" t="s">
        <v>85</v>
      </c>
      <c r="N3" s="9"/>
      <c r="O3" s="10">
        <v>1</v>
      </c>
      <c r="P3" s="10">
        <v>1</v>
      </c>
      <c r="Q3" s="10" t="s">
        <v>86</v>
      </c>
      <c r="R3" s="13" t="s">
        <v>93</v>
      </c>
      <c r="S3" s="9"/>
      <c r="T3" s="13" t="s">
        <v>94</v>
      </c>
    </row>
    <row r="4" ht="42" customHeight="1" spans="1:20" s="9" customFormat="1" x14ac:dyDescent="0.25">
      <c r="A4" s="10" t="s">
        <v>95</v>
      </c>
      <c r="B4" s="10" t="s">
        <v>96</v>
      </c>
      <c r="C4" s="11">
        <v>46218</v>
      </c>
      <c r="D4" s="10" t="s">
        <v>97</v>
      </c>
      <c r="E4" s="12">
        <v>1000</v>
      </c>
      <c r="F4" s="11">
        <v>46218</v>
      </c>
      <c r="G4" s="10" t="s">
        <v>97</v>
      </c>
      <c r="H4" s="12">
        <v>1000</v>
      </c>
      <c r="I4" s="10" t="s">
        <v>98</v>
      </c>
      <c r="J4" s="10">
        <v>0</v>
      </c>
      <c r="K4" s="10" t="s">
        <v>99</v>
      </c>
      <c r="L4" s="10" t="s">
        <v>100</v>
      </c>
      <c r="M4" s="10" t="s">
        <v>85</v>
      </c>
      <c r="N4" s="9"/>
      <c r="O4" s="10">
        <v>2</v>
      </c>
      <c r="P4" s="10">
        <v>1</v>
      </c>
      <c r="Q4" s="10" t="s">
        <v>86</v>
      </c>
      <c r="R4" s="13" t="s">
        <v>101</v>
      </c>
      <c r="S4" s="13" t="s">
        <v>102</v>
      </c>
      <c r="T4" s="13" t="s">
        <v>103</v>
      </c>
    </row>
  </sheetData>
  <autoFilter ref="A1:T4"/>
  <hyperlinks>
    <hyperlink ref="R2" r:id="rId1" location="#'Parsed Supplier Source'!A9"/>
    <hyperlink ref="T2" r:id="rId2" location="#'Parsed Ledger Source'!A4"/>
    <hyperlink ref="R3" r:id="rId3" location="#'Parsed Supplier Source'!A10"/>
    <hyperlink ref="T3" r:id="rId4" location="#'Parsed Ledger Source'!A5"/>
    <hyperlink ref="R4" r:id="rId5" location="#'Parsed Supplier Source'!A7"/>
    <hyperlink ref="S4" r:id="rId6" location="#'Parsed Supplier Source'!A8"/>
    <hyperlink ref="T4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59</v>
      </c>
      <c r="B1" s="2" t="s">
        <v>104</v>
      </c>
      <c r="C1" s="2" t="s">
        <v>105</v>
      </c>
      <c r="D1" s="2" t="s">
        <v>106</v>
      </c>
      <c r="E1" s="8" t="s">
        <v>107</v>
      </c>
      <c r="F1" s="8" t="s">
        <v>108</v>
      </c>
      <c r="G1" s="8" t="s">
        <v>109</v>
      </c>
      <c r="H1" s="2" t="s">
        <v>70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71</v>
      </c>
      <c r="N1" s="2" t="s">
        <v>73</v>
      </c>
      <c r="O1" s="2" t="s">
        <v>74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114</v>
      </c>
      <c r="C1" s="2" t="s">
        <v>115</v>
      </c>
      <c r="D1" s="2" t="s">
        <v>116</v>
      </c>
      <c r="E1" s="2" t="s">
        <v>117</v>
      </c>
      <c r="F1" s="2" t="s">
        <v>118</v>
      </c>
      <c r="G1" s="2" t="s">
        <v>119</v>
      </c>
      <c r="H1" s="8" t="s">
        <v>120</v>
      </c>
      <c r="I1" s="2" t="s">
        <v>121</v>
      </c>
      <c r="J1" s="2" t="s">
        <v>122</v>
      </c>
      <c r="K1" s="2" t="s">
        <v>123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104</v>
      </c>
      <c r="C1" s="8" t="s">
        <v>63</v>
      </c>
      <c r="D1" s="8" t="s">
        <v>66</v>
      </c>
      <c r="E1" s="8" t="s">
        <v>124</v>
      </c>
      <c r="F1" s="2" t="s">
        <v>125</v>
      </c>
      <c r="G1" s="2" t="s">
        <v>126</v>
      </c>
      <c r="H1" s="2" t="s">
        <v>127</v>
      </c>
    </row>
    <row r="3" ht="32" customHeight="1" spans="4:5" x14ac:dyDescent="0.25">
      <c r="D3" s="14" t="s">
        <v>48</v>
      </c>
      <c r="E3" s="7">
        <f>0</f>
        <v>0</v>
      </c>
    </row>
    <row r="4" ht="32" customHeight="1" spans="4:5" x14ac:dyDescent="0.25">
      <c r="D4" s="14" t="s">
        <v>27</v>
      </c>
      <c r="E4" s="7">
        <v>1600</v>
      </c>
    </row>
    <row r="5" ht="32" customHeight="1" spans="4:5" x14ac:dyDescent="0.25">
      <c r="D5" s="14" t="s">
        <v>49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50</v>
      </c>
      <c r="E7" s="7"/>
    </row>
    <row r="9" spans="1:8" x14ac:dyDescent="0.25">
      <c r="A9" s="15" t="s">
        <v>128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129</v>
      </c>
    </row>
    <row r="3" ht="42" customHeight="1" spans="1:2" x14ac:dyDescent="0.25">
      <c r="A3" s="3" t="s">
        <v>130</v>
      </c>
    </row>
    <row r="4" ht="42" customHeight="1" spans="1:2" x14ac:dyDescent="0.25">
      <c r="A4" s="3" t="s">
        <v>131</v>
      </c>
      <c r="B4" s="3" t="s">
        <v>132</v>
      </c>
    </row>
    <row r="5" ht="42" customHeight="1" spans="1:2" x14ac:dyDescent="0.25">
      <c r="A5" s="3" t="s">
        <v>133</v>
      </c>
      <c r="B5" s="3" t="s">
        <v>134</v>
      </c>
    </row>
    <row r="6" ht="42" customHeight="1" spans="1:2" x14ac:dyDescent="0.25">
      <c r="A6" s="3" t="s">
        <v>135</v>
      </c>
      <c r="B6" s="3" t="s">
        <v>136</v>
      </c>
    </row>
    <row r="7" ht="42" customHeight="1" spans="1:2" x14ac:dyDescent="0.25">
      <c r="A7" s="3" t="s">
        <v>137</v>
      </c>
    </row>
    <row r="8" ht="42" customHeight="1" spans="1:2" x14ac:dyDescent="0.25">
      <c r="A8" s="3" t="s">
        <v>2</v>
      </c>
      <c r="B8" s="3" t="s">
        <v>138</v>
      </c>
    </row>
    <row r="9" ht="42" customHeight="1" spans="1:2" x14ac:dyDescent="0.25">
      <c r="A9" s="3" t="s">
        <v>139</v>
      </c>
      <c r="B9" s="16" t="s">
        <v>140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17" customFormat="1" x14ac:dyDescent="0.25">
      <c r="A1" s="17" t="s">
        <v>141</v>
      </c>
      <c r="B1" s="17" t="s">
        <v>142</v>
      </c>
      <c r="C1" s="17" t="s">
        <v>143</v>
      </c>
    </row>
    <row r="2" spans="1:3" s="3" customFormat="1" x14ac:dyDescent="0.25">
      <c r="A2" s="3" t="s">
        <v>32</v>
      </c>
      <c r="B2" s="3" t="s">
        <v>144</v>
      </c>
      <c r="C2" s="3" t="s">
        <v>145</v>
      </c>
    </row>
    <row r="3" spans="1:3" s="3" customFormat="1" x14ac:dyDescent="0.25">
      <c r="A3" s="3" t="s">
        <v>39</v>
      </c>
      <c r="B3" s="3" t="s">
        <v>146</v>
      </c>
      <c r="C3" s="3" t="s">
        <v>145</v>
      </c>
    </row>
    <row r="4" spans="1:3" s="3" customFormat="1" x14ac:dyDescent="0.25">
      <c r="A4" s="3" t="s">
        <v>34</v>
      </c>
      <c r="B4" s="3" t="s">
        <v>147</v>
      </c>
      <c r="C4" s="3" t="s">
        <v>145</v>
      </c>
    </row>
    <row r="5" spans="1:3" s="3" customFormat="1" x14ac:dyDescent="0.25">
      <c r="A5" s="3" t="s">
        <v>39</v>
      </c>
      <c r="B5" s="3" t="s">
        <v>148</v>
      </c>
      <c r="C5" s="3" t="s">
        <v>145</v>
      </c>
    </row>
    <row r="6" spans="1:3" s="3" customFormat="1" x14ac:dyDescent="0.25">
      <c r="A6" s="3" t="s">
        <v>149</v>
      </c>
      <c r="B6" s="3" t="s">
        <v>84</v>
      </c>
      <c r="C6" s="3" t="s">
        <v>150</v>
      </c>
    </row>
    <row r="7" spans="1:3" s="3" customFormat="1" x14ac:dyDescent="0.25">
      <c r="A7" s="3" t="s">
        <v>149</v>
      </c>
      <c r="B7" s="3" t="s">
        <v>92</v>
      </c>
      <c r="C7" s="3" t="s">
        <v>151</v>
      </c>
    </row>
    <row r="8" spans="1:3" s="3" customFormat="1" x14ac:dyDescent="0.25">
      <c r="A8" s="3" t="s">
        <v>152</v>
      </c>
      <c r="B8" s="3" t="s">
        <v>100</v>
      </c>
      <c r="C8" s="3" t="s">
        <v>153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59</v>
      </c>
      <c r="B1" s="17" t="s">
        <v>104</v>
      </c>
      <c r="C1" s="17" t="s">
        <v>71</v>
      </c>
      <c r="D1" s="17" t="s">
        <v>69</v>
      </c>
      <c r="E1" s="17" t="s">
        <v>70</v>
      </c>
      <c r="F1" s="17" t="s">
        <v>114</v>
      </c>
      <c r="G1" s="17" t="s">
        <v>154</v>
      </c>
      <c r="H1" s="17" t="s">
        <v>155</v>
      </c>
      <c r="I1" s="17" t="s">
        <v>156</v>
      </c>
      <c r="J1" s="17" t="s">
        <v>157</v>
      </c>
      <c r="K1" s="17" t="s">
        <v>115</v>
      </c>
      <c r="L1" s="17" t="s">
        <v>158</v>
      </c>
      <c r="M1" s="17" t="s">
        <v>159</v>
      </c>
      <c r="N1" s="17" t="s">
        <v>160</v>
      </c>
      <c r="O1" s="17" t="s">
        <v>161</v>
      </c>
      <c r="P1" s="17" t="s">
        <v>162</v>
      </c>
      <c r="Q1" s="17" t="s">
        <v>163</v>
      </c>
      <c r="R1" s="17" t="s">
        <v>8</v>
      </c>
      <c r="S1" s="18" t="s">
        <v>120</v>
      </c>
      <c r="T1" s="17" t="s">
        <v>122</v>
      </c>
      <c r="U1" s="17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116</v>
      </c>
      <c r="AB1" s="17" t="s">
        <v>170</v>
      </c>
      <c r="AC1" s="17" t="s">
        <v>171</v>
      </c>
      <c r="AD1" s="17" t="s">
        <v>172</v>
      </c>
      <c r="AE1" s="17" t="s">
        <v>173</v>
      </c>
    </row>
    <row r="2" spans="1:31" s="3" customFormat="1" x14ac:dyDescent="0.25">
      <c r="A2" s="3" t="s">
        <v>79</v>
      </c>
      <c r="B2" s="3" t="s">
        <v>149</v>
      </c>
      <c r="C2" s="3" t="s">
        <v>85</v>
      </c>
      <c r="D2" s="3" t="s">
        <v>83</v>
      </c>
      <c r="E2" s="3" t="s">
        <v>84</v>
      </c>
      <c r="F2" s="3" t="s">
        <v>174</v>
      </c>
      <c r="G2" s="3" t="s">
        <v>175</v>
      </c>
      <c r="H2" s="3" t="s">
        <v>176</v>
      </c>
      <c r="I2" s="3">
        <v>8</v>
      </c>
      <c r="J2" s="3" t="s">
        <v>145</v>
      </c>
      <c r="K2" s="4">
        <v>46219</v>
      </c>
      <c r="L2" s="3" t="s">
        <v>81</v>
      </c>
      <c r="M2" s="3" t="s">
        <v>177</v>
      </c>
      <c r="N2" s="3" t="s">
        <v>145</v>
      </c>
      <c r="O2" s="3" t="s">
        <v>145</v>
      </c>
      <c r="P2" s="3" t="s">
        <v>81</v>
      </c>
      <c r="Q2" s="3" t="s">
        <v>177</v>
      </c>
      <c r="R2" s="3" t="s">
        <v>9</v>
      </c>
      <c r="S2" s="19">
        <v>-350</v>
      </c>
      <c r="T2" s="3" t="s">
        <v>87</v>
      </c>
      <c r="U2" s="3" t="s">
        <v>145</v>
      </c>
      <c r="V2" s="3" t="s">
        <v>145</v>
      </c>
      <c r="W2" s="3" t="s">
        <v>145</v>
      </c>
      <c r="X2" s="3" t="s">
        <v>178</v>
      </c>
      <c r="Y2" s="3" t="s">
        <v>179</v>
      </c>
      <c r="Z2" s="3">
        <v>2</v>
      </c>
      <c r="AA2" s="3" t="s">
        <v>180</v>
      </c>
      <c r="AB2" s="3" t="s">
        <v>145</v>
      </c>
      <c r="AC2" s="3" t="s">
        <v>145</v>
      </c>
      <c r="AD2" s="3" t="s">
        <v>145</v>
      </c>
      <c r="AE2" s="3" t="s">
        <v>145</v>
      </c>
    </row>
    <row r="3" spans="1:31" s="3" customFormat="1" x14ac:dyDescent="0.25">
      <c r="A3" s="3" t="s">
        <v>79</v>
      </c>
      <c r="B3" s="3" t="s">
        <v>149</v>
      </c>
      <c r="C3" s="3" t="s">
        <v>85</v>
      </c>
      <c r="D3" s="3" t="s">
        <v>83</v>
      </c>
      <c r="E3" s="3" t="s">
        <v>84</v>
      </c>
      <c r="F3" s="3" t="s">
        <v>181</v>
      </c>
      <c r="G3" s="3" t="s">
        <v>182</v>
      </c>
      <c r="H3" s="3" t="s">
        <v>18</v>
      </c>
      <c r="I3" s="3">
        <v>3</v>
      </c>
      <c r="J3" s="3" t="s">
        <v>145</v>
      </c>
      <c r="K3" s="4">
        <v>46219</v>
      </c>
      <c r="L3" s="3" t="s">
        <v>81</v>
      </c>
      <c r="M3" s="3" t="s">
        <v>177</v>
      </c>
      <c r="N3" s="3" t="s">
        <v>145</v>
      </c>
      <c r="O3" s="3" t="s">
        <v>145</v>
      </c>
      <c r="P3" s="3" t="s">
        <v>81</v>
      </c>
      <c r="Q3" s="3" t="s">
        <v>177</v>
      </c>
      <c r="R3" s="3" t="s">
        <v>9</v>
      </c>
      <c r="S3" s="19">
        <v>-350</v>
      </c>
      <c r="T3" s="3" t="s">
        <v>88</v>
      </c>
      <c r="U3" s="3" t="s">
        <v>145</v>
      </c>
      <c r="V3" s="3" t="s">
        <v>145</v>
      </c>
      <c r="W3" s="3" t="s">
        <v>145</v>
      </c>
      <c r="X3" s="3" t="s">
        <v>178</v>
      </c>
      <c r="Y3" s="3" t="s">
        <v>179</v>
      </c>
      <c r="Z3" s="3">
        <v>2</v>
      </c>
      <c r="AA3" s="3" t="s">
        <v>180</v>
      </c>
      <c r="AB3" s="3" t="s">
        <v>145</v>
      </c>
      <c r="AC3" s="3" t="s">
        <v>145</v>
      </c>
      <c r="AD3" s="3" t="s">
        <v>145</v>
      </c>
      <c r="AE3" s="3" t="s">
        <v>145</v>
      </c>
    </row>
    <row r="4" spans="1:31" s="3" customFormat="1" x14ac:dyDescent="0.25">
      <c r="A4" s="3" t="s">
        <v>89</v>
      </c>
      <c r="B4" s="3" t="s">
        <v>149</v>
      </c>
      <c r="C4" s="3" t="s">
        <v>85</v>
      </c>
      <c r="D4" s="3" t="s">
        <v>91</v>
      </c>
      <c r="E4" s="3" t="s">
        <v>92</v>
      </c>
      <c r="F4" s="3" t="s">
        <v>174</v>
      </c>
      <c r="G4" s="3" t="s">
        <v>183</v>
      </c>
      <c r="H4" s="3" t="s">
        <v>176</v>
      </c>
      <c r="I4" s="3">
        <v>9</v>
      </c>
      <c r="J4" s="3" t="s">
        <v>145</v>
      </c>
      <c r="K4" s="4">
        <v>46220</v>
      </c>
      <c r="L4" s="3" t="s">
        <v>90</v>
      </c>
      <c r="M4" s="3" t="s">
        <v>90</v>
      </c>
      <c r="N4" s="3" t="s">
        <v>145</v>
      </c>
      <c r="O4" s="3" t="s">
        <v>145</v>
      </c>
      <c r="P4" s="3" t="s">
        <v>145</v>
      </c>
      <c r="Q4" s="3" t="s">
        <v>145</v>
      </c>
      <c r="R4" s="3" t="s">
        <v>9</v>
      </c>
      <c r="S4" s="19">
        <v>-50</v>
      </c>
      <c r="T4" s="3" t="s">
        <v>93</v>
      </c>
      <c r="U4" s="3" t="s">
        <v>145</v>
      </c>
      <c r="V4" s="3" t="s">
        <v>145</v>
      </c>
      <c r="W4" s="3" t="s">
        <v>145</v>
      </c>
      <c r="X4" s="3" t="s">
        <v>178</v>
      </c>
      <c r="Y4" s="3" t="s">
        <v>179</v>
      </c>
      <c r="Z4" s="3">
        <v>2</v>
      </c>
      <c r="AA4" s="3" t="s">
        <v>184</v>
      </c>
      <c r="AB4" s="3" t="s">
        <v>145</v>
      </c>
      <c r="AC4" s="3" t="s">
        <v>145</v>
      </c>
      <c r="AD4" s="3" t="s">
        <v>145</v>
      </c>
      <c r="AE4" s="3" t="s">
        <v>145</v>
      </c>
    </row>
    <row r="5" spans="1:31" s="3" customFormat="1" x14ac:dyDescent="0.25">
      <c r="A5" s="3" t="s">
        <v>89</v>
      </c>
      <c r="B5" s="3" t="s">
        <v>149</v>
      </c>
      <c r="C5" s="3" t="s">
        <v>85</v>
      </c>
      <c r="D5" s="3" t="s">
        <v>91</v>
      </c>
      <c r="E5" s="3" t="s">
        <v>92</v>
      </c>
      <c r="F5" s="3" t="s">
        <v>181</v>
      </c>
      <c r="G5" s="3" t="s">
        <v>185</v>
      </c>
      <c r="H5" s="3" t="s">
        <v>18</v>
      </c>
      <c r="I5" s="3">
        <v>4</v>
      </c>
      <c r="J5" s="3" t="s">
        <v>145</v>
      </c>
      <c r="K5" s="4">
        <v>46220</v>
      </c>
      <c r="L5" s="3" t="s">
        <v>90</v>
      </c>
      <c r="M5" s="3" t="s">
        <v>90</v>
      </c>
      <c r="N5" s="3" t="s">
        <v>145</v>
      </c>
      <c r="O5" s="3" t="s">
        <v>145</v>
      </c>
      <c r="P5" s="3" t="s">
        <v>145</v>
      </c>
      <c r="Q5" s="3" t="s">
        <v>145</v>
      </c>
      <c r="R5" s="3" t="s">
        <v>9</v>
      </c>
      <c r="S5" s="19">
        <v>-50</v>
      </c>
      <c r="T5" s="3" t="s">
        <v>94</v>
      </c>
      <c r="U5" s="3" t="s">
        <v>145</v>
      </c>
      <c r="V5" s="3" t="s">
        <v>145</v>
      </c>
      <c r="W5" s="3" t="s">
        <v>145</v>
      </c>
      <c r="X5" s="3" t="s">
        <v>178</v>
      </c>
      <c r="Y5" s="3" t="s">
        <v>179</v>
      </c>
      <c r="Z5" s="3">
        <v>2</v>
      </c>
      <c r="AA5" s="3" t="s">
        <v>184</v>
      </c>
      <c r="AB5" s="3" t="s">
        <v>145</v>
      </c>
      <c r="AC5" s="3" t="s">
        <v>145</v>
      </c>
      <c r="AD5" s="3" t="s">
        <v>145</v>
      </c>
      <c r="AE5" s="3" t="s">
        <v>145</v>
      </c>
    </row>
    <row r="6" spans="1:31" s="3" customFormat="1" x14ac:dyDescent="0.25">
      <c r="A6" s="3" t="s">
        <v>95</v>
      </c>
      <c r="B6" s="3" t="s">
        <v>152</v>
      </c>
      <c r="C6" s="3" t="s">
        <v>85</v>
      </c>
      <c r="D6" s="3" t="s">
        <v>99</v>
      </c>
      <c r="E6" s="3" t="s">
        <v>100</v>
      </c>
      <c r="F6" s="3" t="s">
        <v>174</v>
      </c>
      <c r="G6" s="3" t="s">
        <v>186</v>
      </c>
      <c r="H6" s="3" t="s">
        <v>176</v>
      </c>
      <c r="I6" s="3">
        <v>6</v>
      </c>
      <c r="J6" s="3" t="s">
        <v>145</v>
      </c>
      <c r="K6" s="4">
        <v>46218</v>
      </c>
      <c r="L6" s="3" t="s">
        <v>97</v>
      </c>
      <c r="M6" s="3" t="s">
        <v>97</v>
      </c>
      <c r="N6" s="3" t="s">
        <v>145</v>
      </c>
      <c r="O6" s="3" t="s">
        <v>187</v>
      </c>
      <c r="P6" s="3" t="s">
        <v>145</v>
      </c>
      <c r="Q6" s="3" t="s">
        <v>145</v>
      </c>
      <c r="R6" s="3" t="s">
        <v>9</v>
      </c>
      <c r="S6" s="19">
        <v>780</v>
      </c>
      <c r="T6" s="3" t="s">
        <v>101</v>
      </c>
      <c r="U6" s="3" t="s">
        <v>145</v>
      </c>
      <c r="V6" s="3" t="s">
        <v>145</v>
      </c>
      <c r="W6" s="3" t="s">
        <v>145</v>
      </c>
      <c r="X6" s="3" t="s">
        <v>178</v>
      </c>
      <c r="Y6" s="3" t="s">
        <v>179</v>
      </c>
      <c r="Z6" s="3">
        <v>2</v>
      </c>
      <c r="AA6" s="3" t="s">
        <v>188</v>
      </c>
      <c r="AB6" s="3" t="s">
        <v>145</v>
      </c>
      <c r="AC6" s="3" t="s">
        <v>145</v>
      </c>
      <c r="AD6" s="3" t="s">
        <v>145</v>
      </c>
      <c r="AE6" s="3" t="s">
        <v>145</v>
      </c>
    </row>
    <row r="7" spans="1:31" s="3" customFormat="1" x14ac:dyDescent="0.25">
      <c r="A7" s="3" t="s">
        <v>95</v>
      </c>
      <c r="B7" s="3" t="s">
        <v>152</v>
      </c>
      <c r="C7" s="3" t="s">
        <v>85</v>
      </c>
      <c r="D7" s="3" t="s">
        <v>99</v>
      </c>
      <c r="E7" s="3" t="s">
        <v>100</v>
      </c>
      <c r="F7" s="3" t="s">
        <v>174</v>
      </c>
      <c r="G7" s="3" t="s">
        <v>189</v>
      </c>
      <c r="H7" s="3" t="s">
        <v>176</v>
      </c>
      <c r="I7" s="3">
        <v>7</v>
      </c>
      <c r="J7" s="3" t="s">
        <v>145</v>
      </c>
      <c r="K7" s="4">
        <v>46218</v>
      </c>
      <c r="L7" s="3" t="s">
        <v>97</v>
      </c>
      <c r="M7" s="3" t="s">
        <v>97</v>
      </c>
      <c r="N7" s="3" t="s">
        <v>145</v>
      </c>
      <c r="O7" s="3" t="s">
        <v>187</v>
      </c>
      <c r="P7" s="3" t="s">
        <v>145</v>
      </c>
      <c r="Q7" s="3" t="s">
        <v>145</v>
      </c>
      <c r="R7" s="3" t="s">
        <v>9</v>
      </c>
      <c r="S7" s="19">
        <v>220</v>
      </c>
      <c r="T7" s="3" t="s">
        <v>102</v>
      </c>
      <c r="U7" s="3" t="s">
        <v>145</v>
      </c>
      <c r="V7" s="3" t="s">
        <v>145</v>
      </c>
      <c r="W7" s="3" t="s">
        <v>145</v>
      </c>
      <c r="X7" s="3" t="s">
        <v>178</v>
      </c>
      <c r="Y7" s="3" t="s">
        <v>179</v>
      </c>
      <c r="Z7" s="3">
        <v>2</v>
      </c>
      <c r="AA7" s="3" t="s">
        <v>188</v>
      </c>
      <c r="AB7" s="3" t="s">
        <v>145</v>
      </c>
      <c r="AC7" s="3" t="s">
        <v>145</v>
      </c>
      <c r="AD7" s="3" t="s">
        <v>145</v>
      </c>
      <c r="AE7" s="3" t="s">
        <v>145</v>
      </c>
    </row>
    <row r="8" spans="1:31" s="3" customFormat="1" x14ac:dyDescent="0.25">
      <c r="A8" s="3" t="s">
        <v>95</v>
      </c>
      <c r="B8" s="3" t="s">
        <v>152</v>
      </c>
      <c r="C8" s="3" t="s">
        <v>85</v>
      </c>
      <c r="D8" s="3" t="s">
        <v>99</v>
      </c>
      <c r="E8" s="3" t="s">
        <v>100</v>
      </c>
      <c r="F8" s="3" t="s">
        <v>181</v>
      </c>
      <c r="G8" s="3" t="s">
        <v>190</v>
      </c>
      <c r="H8" s="3" t="s">
        <v>18</v>
      </c>
      <c r="I8" s="3">
        <v>2</v>
      </c>
      <c r="J8" s="3" t="s">
        <v>145</v>
      </c>
      <c r="K8" s="4">
        <v>46218</v>
      </c>
      <c r="L8" s="3" t="s">
        <v>97</v>
      </c>
      <c r="M8" s="3" t="s">
        <v>97</v>
      </c>
      <c r="N8" s="3" t="s">
        <v>145</v>
      </c>
      <c r="O8" s="3" t="s">
        <v>187</v>
      </c>
      <c r="P8" s="3" t="s">
        <v>145</v>
      </c>
      <c r="Q8" s="3" t="s">
        <v>145</v>
      </c>
      <c r="R8" s="3" t="s">
        <v>9</v>
      </c>
      <c r="S8" s="19">
        <v>1000</v>
      </c>
      <c r="T8" s="3" t="s">
        <v>103</v>
      </c>
      <c r="U8" s="3" t="s">
        <v>145</v>
      </c>
      <c r="V8" s="3" t="s">
        <v>145</v>
      </c>
      <c r="W8" s="3" t="s">
        <v>145</v>
      </c>
      <c r="X8" s="3" t="s">
        <v>178</v>
      </c>
      <c r="Y8" s="3" t="s">
        <v>179</v>
      </c>
      <c r="Z8" s="3">
        <v>2</v>
      </c>
      <c r="AA8" s="3" t="s">
        <v>188</v>
      </c>
      <c r="AB8" s="3" t="s">
        <v>145</v>
      </c>
      <c r="AC8" s="3" t="s">
        <v>145</v>
      </c>
      <c r="AD8" s="3" t="s">
        <v>145</v>
      </c>
      <c r="AE8" s="3" t="s">
        <v>145</v>
      </c>
    </row>
  </sheetData>
  <autoFilter ref="A1:AE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Supplier Source'!A8"/>
    <hyperlink ref="T8" r:id="rId7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191</v>
      </c>
      <c r="B1" s="17" t="s">
        <v>192</v>
      </c>
      <c r="C1" s="17" t="s">
        <v>193</v>
      </c>
      <c r="D1" s="17" t="s">
        <v>113</v>
      </c>
    </row>
    <row r="2" spans="1:4" s="3" customFormat="1" x14ac:dyDescent="0.25">
      <c r="A2" s="4">
        <v>46295.66718445602</v>
      </c>
      <c r="B2" s="3" t="s">
        <v>194</v>
      </c>
      <c r="C2" s="3" t="s">
        <v>145</v>
      </c>
      <c r="D2" s="3" t="s">
        <v>195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17" customFormat="1" x14ac:dyDescent="0.25">
      <c r="A1" s="17" t="s">
        <v>114</v>
      </c>
      <c r="B1" s="17" t="s">
        <v>155</v>
      </c>
      <c r="C1" s="17" t="s">
        <v>196</v>
      </c>
      <c r="D1" s="17" t="s">
        <v>197</v>
      </c>
      <c r="E1" s="17" t="s">
        <v>198</v>
      </c>
      <c r="F1" s="17" t="s">
        <v>199</v>
      </c>
    </row>
    <row r="2" spans="1:6" s="3" customFormat="1" x14ac:dyDescent="0.25">
      <c r="A2" s="3" t="s">
        <v>174</v>
      </c>
      <c r="B2" s="3" t="s">
        <v>176</v>
      </c>
      <c r="C2" s="3" t="s">
        <v>200</v>
      </c>
      <c r="D2" s="3">
        <v>1000</v>
      </c>
      <c r="E2" s="3" t="s">
        <v>145</v>
      </c>
      <c r="F2" s="3" t="s">
        <v>145</v>
      </c>
    </row>
    <row r="3" spans="1:6" s="3" customFormat="1" x14ac:dyDescent="0.25">
      <c r="A3" s="3" t="s">
        <v>174</v>
      </c>
      <c r="B3" s="3" t="s">
        <v>176</v>
      </c>
      <c r="C3" s="3" t="s">
        <v>201</v>
      </c>
      <c r="D3" s="3">
        <v>780</v>
      </c>
      <c r="E3" s="3" t="s">
        <v>145</v>
      </c>
      <c r="F3" s="3" t="s">
        <v>145</v>
      </c>
    </row>
    <row r="4" spans="1:6" s="3" customFormat="1" x14ac:dyDescent="0.25">
      <c r="A4" s="3" t="s">
        <v>174</v>
      </c>
      <c r="B4" s="3" t="s">
        <v>176</v>
      </c>
      <c r="C4" s="3" t="s">
        <v>202</v>
      </c>
      <c r="D4" s="3">
        <v>1780</v>
      </c>
      <c r="E4" s="3" t="s">
        <v>145</v>
      </c>
      <c r="F4" s="3" t="s">
        <v>145</v>
      </c>
    </row>
    <row r="5" spans="1:6" s="3" customFormat="1" x14ac:dyDescent="0.25">
      <c r="A5" s="3" t="s">
        <v>174</v>
      </c>
      <c r="B5" s="3" t="s">
        <v>176</v>
      </c>
      <c r="C5" s="3" t="s">
        <v>203</v>
      </c>
      <c r="D5" s="3">
        <v>220</v>
      </c>
      <c r="E5" s="3" t="s">
        <v>145</v>
      </c>
      <c r="F5" s="3" t="s">
        <v>145</v>
      </c>
    </row>
    <row r="6" spans="1:6" s="3" customFormat="1" x14ac:dyDescent="0.25">
      <c r="A6" s="3" t="s">
        <v>174</v>
      </c>
      <c r="B6" s="3" t="s">
        <v>176</v>
      </c>
      <c r="C6" s="3" t="s">
        <v>204</v>
      </c>
      <c r="D6" s="3">
        <v>2000</v>
      </c>
      <c r="E6" s="3" t="s">
        <v>145</v>
      </c>
      <c r="F6" s="3" t="s">
        <v>145</v>
      </c>
    </row>
    <row r="7" spans="1:6" s="3" customFormat="1" x14ac:dyDescent="0.25">
      <c r="A7" s="3" t="s">
        <v>174</v>
      </c>
      <c r="B7" s="3" t="s">
        <v>176</v>
      </c>
      <c r="C7" s="3" t="s">
        <v>205</v>
      </c>
      <c r="D7" s="3">
        <v>350</v>
      </c>
      <c r="E7" s="3" t="s">
        <v>145</v>
      </c>
      <c r="F7" s="3" t="s">
        <v>145</v>
      </c>
    </row>
    <row r="8" spans="1:6" s="3" customFormat="1" x14ac:dyDescent="0.25">
      <c r="A8" s="3" t="s">
        <v>174</v>
      </c>
      <c r="B8" s="3" t="s">
        <v>176</v>
      </c>
      <c r="C8" s="3" t="s">
        <v>206</v>
      </c>
      <c r="D8" s="3">
        <v>1650</v>
      </c>
      <c r="E8" s="3" t="s">
        <v>145</v>
      </c>
      <c r="F8" s="3" t="s">
        <v>145</v>
      </c>
    </row>
    <row r="9" spans="1:6" s="3" customFormat="1" x14ac:dyDescent="0.25">
      <c r="A9" s="3" t="s">
        <v>174</v>
      </c>
      <c r="B9" s="3" t="s">
        <v>176</v>
      </c>
      <c r="C9" s="3" t="s">
        <v>207</v>
      </c>
      <c r="D9" s="3">
        <v>50</v>
      </c>
      <c r="E9" s="3" t="s">
        <v>145</v>
      </c>
      <c r="F9" s="3" t="s">
        <v>145</v>
      </c>
    </row>
    <row r="10" spans="1:6" s="3" customFormat="1" x14ac:dyDescent="0.25">
      <c r="A10" s="3" t="s">
        <v>174</v>
      </c>
      <c r="B10" s="3" t="s">
        <v>176</v>
      </c>
      <c r="C10" s="3" t="s">
        <v>208</v>
      </c>
      <c r="D10" s="3">
        <v>1600</v>
      </c>
      <c r="E10" s="3" t="s">
        <v>145</v>
      </c>
      <c r="F10" s="3" t="s">
        <v>145</v>
      </c>
    </row>
    <row r="11" spans="1:6" s="3" customFormat="1" x14ac:dyDescent="0.25">
      <c r="A11" s="3" t="s">
        <v>174</v>
      </c>
      <c r="B11" s="3" t="s">
        <v>176</v>
      </c>
      <c r="C11" s="3" t="s">
        <v>209</v>
      </c>
      <c r="D11" s="3">
        <v>1600</v>
      </c>
      <c r="E11" s="3" t="s">
        <v>145</v>
      </c>
      <c r="F11" s="3" t="s">
        <v>145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210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  <c r="H1" s="18" t="s">
        <v>217</v>
      </c>
      <c r="I1" s="17" t="s">
        <v>218</v>
      </c>
      <c r="J1" s="17" t="s">
        <v>219</v>
      </c>
    </row>
    <row r="2" spans="1:10" s="3" customFormat="1" x14ac:dyDescent="0.25">
      <c r="A2" s="3" t="s">
        <v>186</v>
      </c>
      <c r="B2" s="3" t="s">
        <v>176</v>
      </c>
      <c r="C2" s="3">
        <v>6</v>
      </c>
      <c r="D2" s="4">
        <v>46218</v>
      </c>
      <c r="E2" s="3" t="s">
        <v>97</v>
      </c>
      <c r="F2" s="3" t="s">
        <v>220</v>
      </c>
      <c r="G2" s="3" t="s">
        <v>145</v>
      </c>
      <c r="H2" s="19">
        <v>780</v>
      </c>
      <c r="I2" s="3" t="s">
        <v>221</v>
      </c>
      <c r="J2" s="3" t="s">
        <v>145</v>
      </c>
    </row>
    <row r="3" spans="1:10" s="3" customFormat="1" x14ac:dyDescent="0.25">
      <c r="A3" s="3" t="s">
        <v>189</v>
      </c>
      <c r="B3" s="3" t="s">
        <v>176</v>
      </c>
      <c r="C3" s="3">
        <v>7</v>
      </c>
      <c r="D3" s="4">
        <v>46218</v>
      </c>
      <c r="E3" s="3" t="s">
        <v>97</v>
      </c>
      <c r="F3" s="3" t="s">
        <v>220</v>
      </c>
      <c r="G3" s="3" t="s">
        <v>145</v>
      </c>
      <c r="H3" s="19">
        <v>220</v>
      </c>
      <c r="I3" s="3" t="s">
        <v>222</v>
      </c>
      <c r="J3" s="3" t="s">
        <v>145</v>
      </c>
    </row>
    <row r="4" spans="1:10" s="3" customFormat="1" x14ac:dyDescent="0.25">
      <c r="A4" s="3" t="s">
        <v>175</v>
      </c>
      <c r="B4" s="3" t="s">
        <v>176</v>
      </c>
      <c r="C4" s="3">
        <v>8</v>
      </c>
      <c r="D4" s="4">
        <v>46219</v>
      </c>
      <c r="E4" s="3" t="s">
        <v>81</v>
      </c>
      <c r="F4" s="3" t="s">
        <v>223</v>
      </c>
      <c r="G4" s="3" t="s">
        <v>145</v>
      </c>
      <c r="H4" s="19">
        <v>-350</v>
      </c>
      <c r="I4" s="3" t="s">
        <v>224</v>
      </c>
      <c r="J4" s="3" t="s">
        <v>145</v>
      </c>
    </row>
    <row r="5" spans="1:10" s="3" customFormat="1" x14ac:dyDescent="0.25">
      <c r="A5" s="3" t="s">
        <v>183</v>
      </c>
      <c r="B5" s="3" t="s">
        <v>176</v>
      </c>
      <c r="C5" s="3">
        <v>9</v>
      </c>
      <c r="D5" s="4">
        <v>46220</v>
      </c>
      <c r="E5" s="3" t="s">
        <v>90</v>
      </c>
      <c r="F5" s="3" t="s">
        <v>225</v>
      </c>
      <c r="G5" s="3" t="s">
        <v>145</v>
      </c>
      <c r="H5" s="19">
        <v>-50</v>
      </c>
      <c r="I5" s="3" t="s">
        <v>226</v>
      </c>
      <c r="J5" s="3" t="s">
        <v>145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210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  <c r="H1" s="18" t="s">
        <v>217</v>
      </c>
      <c r="I1" s="17" t="s">
        <v>218</v>
      </c>
      <c r="J1" s="17" t="s">
        <v>219</v>
      </c>
    </row>
    <row r="2" spans="1:10" s="3" customFormat="1" x14ac:dyDescent="0.25">
      <c r="A2" s="3" t="s">
        <v>190</v>
      </c>
      <c r="B2" s="3" t="s">
        <v>18</v>
      </c>
      <c r="C2" s="3">
        <v>2</v>
      </c>
      <c r="D2" s="4">
        <v>46218</v>
      </c>
      <c r="E2" s="3" t="s">
        <v>97</v>
      </c>
      <c r="F2" s="3" t="s">
        <v>220</v>
      </c>
      <c r="G2" s="3" t="s">
        <v>145</v>
      </c>
      <c r="H2" s="19">
        <v>1000</v>
      </c>
      <c r="I2" s="3" t="s">
        <v>227</v>
      </c>
      <c r="J2" s="3" t="s">
        <v>145</v>
      </c>
    </row>
    <row r="3" spans="1:10" s="3" customFormat="1" x14ac:dyDescent="0.25">
      <c r="A3" s="3" t="s">
        <v>182</v>
      </c>
      <c r="B3" s="3" t="s">
        <v>18</v>
      </c>
      <c r="C3" s="3">
        <v>3</v>
      </c>
      <c r="D3" s="4">
        <v>46219</v>
      </c>
      <c r="E3" s="3" t="s">
        <v>81</v>
      </c>
      <c r="F3" s="3" t="s">
        <v>223</v>
      </c>
      <c r="G3" s="3" t="s">
        <v>145</v>
      </c>
      <c r="H3" s="19">
        <v>-350</v>
      </c>
      <c r="I3" s="3" t="s">
        <v>228</v>
      </c>
      <c r="J3" s="3" t="s">
        <v>145</v>
      </c>
    </row>
    <row r="4" spans="1:10" s="3" customFormat="1" x14ac:dyDescent="0.25">
      <c r="A4" s="3" t="s">
        <v>185</v>
      </c>
      <c r="B4" s="3" t="s">
        <v>18</v>
      </c>
      <c r="C4" s="3">
        <v>4</v>
      </c>
      <c r="D4" s="4">
        <v>46220</v>
      </c>
      <c r="E4" s="3" t="s">
        <v>90</v>
      </c>
      <c r="F4" s="3" t="s">
        <v>225</v>
      </c>
      <c r="G4" s="3" t="s">
        <v>145</v>
      </c>
      <c r="H4" s="19">
        <v>-50</v>
      </c>
      <c r="I4" s="3" t="s">
        <v>229</v>
      </c>
      <c r="J4" s="3" t="s">
        <v>145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17" customFormat="1" x14ac:dyDescent="0.25">
      <c r="A1" s="17" t="s">
        <v>230</v>
      </c>
      <c r="B1" s="17" t="s">
        <v>212</v>
      </c>
      <c r="C1" s="17" t="s">
        <v>231</v>
      </c>
      <c r="D1" s="17" t="s">
        <v>232</v>
      </c>
    </row>
    <row r="2" spans="1:4" s="3" customFormat="1" x14ac:dyDescent="0.25">
      <c r="A2" s="3" t="s">
        <v>233</v>
      </c>
      <c r="B2" s="3">
        <v>1</v>
      </c>
      <c r="C2" s="3" t="s">
        <v>234</v>
      </c>
      <c r="D2" s="3" t="s">
        <v>235</v>
      </c>
    </row>
    <row r="3" spans="1:4" s="3" customFormat="1" x14ac:dyDescent="0.25">
      <c r="A3" s="3" t="s">
        <v>233</v>
      </c>
      <c r="B3" s="3">
        <v>2</v>
      </c>
      <c r="C3" s="3" t="s">
        <v>234</v>
      </c>
      <c r="D3" s="3" t="s">
        <v>236</v>
      </c>
    </row>
    <row r="4" spans="1:4" s="3" customFormat="1" x14ac:dyDescent="0.25">
      <c r="A4" s="3" t="s">
        <v>233</v>
      </c>
      <c r="B4" s="3">
        <v>3</v>
      </c>
      <c r="C4" s="3" t="s">
        <v>234</v>
      </c>
      <c r="D4" s="3" t="s">
        <v>237</v>
      </c>
    </row>
    <row r="5" spans="1:4" s="3" customFormat="1" x14ac:dyDescent="0.25">
      <c r="A5" s="3" t="s">
        <v>233</v>
      </c>
      <c r="B5" s="3">
        <v>4</v>
      </c>
      <c r="C5" s="3" t="s">
        <v>238</v>
      </c>
      <c r="D5" s="3" t="s">
        <v>239</v>
      </c>
    </row>
    <row r="6" spans="1:4" s="3" customFormat="1" x14ac:dyDescent="0.25">
      <c r="A6" s="3" t="s">
        <v>233</v>
      </c>
      <c r="B6" s="3">
        <v>5</v>
      </c>
      <c r="C6" s="3" t="s">
        <v>240</v>
      </c>
      <c r="D6" s="3" t="s">
        <v>241</v>
      </c>
    </row>
    <row r="7" spans="1:4" s="3" customFormat="1" x14ac:dyDescent="0.25">
      <c r="A7" s="3" t="s">
        <v>233</v>
      </c>
      <c r="B7" s="3">
        <v>10</v>
      </c>
      <c r="C7" s="3" t="s">
        <v>242</v>
      </c>
      <c r="D7" s="3" t="s">
        <v>243</v>
      </c>
    </row>
    <row r="8" spans="1:4" s="3" customFormat="1" x14ac:dyDescent="0.25">
      <c r="A8" s="3" t="s">
        <v>244</v>
      </c>
      <c r="B8" s="3">
        <v>1</v>
      </c>
      <c r="C8" s="3" t="s">
        <v>238</v>
      </c>
      <c r="D8" s="3" t="s">
        <v>245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246</v>
      </c>
      <c r="B1" s="17" t="s">
        <v>247</v>
      </c>
    </row>
    <row r="2" spans="1:2" s="3" customFormat="1" x14ac:dyDescent="0.25">
      <c r="A2" s="3" t="s">
        <v>248</v>
      </c>
      <c r="B2" s="3" t="s">
        <v>249</v>
      </c>
    </row>
    <row r="3" spans="1:2" s="3" customFormat="1" x14ac:dyDescent="0.25">
      <c r="A3" s="3" t="s">
        <v>250</v>
      </c>
      <c r="B3" s="3" t="s">
        <v>251</v>
      </c>
    </row>
    <row r="4" spans="1:2" s="3" customFormat="1" x14ac:dyDescent="0.25">
      <c r="A4" s="3" t="s">
        <v>252</v>
      </c>
      <c r="B4" s="3" t="s">
        <v>253</v>
      </c>
    </row>
    <row r="5" spans="1:2" s="3" customFormat="1" x14ac:dyDescent="0.25">
      <c r="A5" s="3" t="s">
        <v>254</v>
      </c>
      <c r="B5" s="3" t="s">
        <v>255</v>
      </c>
    </row>
    <row r="6" spans="1:2" s="3" customFormat="1" x14ac:dyDescent="0.25">
      <c r="A6" s="3" t="s">
        <v>256</v>
      </c>
      <c r="B6" s="3" t="s">
        <v>255</v>
      </c>
    </row>
    <row r="7" spans="1:2" s="3" customFormat="1" x14ac:dyDescent="0.25">
      <c r="A7" s="3" t="s">
        <v>257</v>
      </c>
      <c r="B7" s="3" t="s">
        <v>258</v>
      </c>
    </row>
    <row r="8" spans="1:2" s="3" customFormat="1" x14ac:dyDescent="0.25">
      <c r="A8" s="3" t="s">
        <v>259</v>
      </c>
      <c r="B8" s="3" t="s">
        <v>260</v>
      </c>
    </row>
    <row r="9" spans="1:2" s="3" customFormat="1" x14ac:dyDescent="0.25">
      <c r="A9" s="3" t="s">
        <v>261</v>
      </c>
      <c r="B9" s="3" t="s">
        <v>262</v>
      </c>
    </row>
    <row r="10" spans="1:2" s="3" customFormat="1" x14ac:dyDescent="0.25">
      <c r="A10" s="3" t="s">
        <v>263</v>
      </c>
      <c r="B10" s="3" t="s">
        <v>262</v>
      </c>
    </row>
    <row r="11" spans="1:2" s="3" customFormat="1" x14ac:dyDescent="0.25">
      <c r="A11" s="3" t="s">
        <v>264</v>
      </c>
      <c r="B11" s="3" t="s">
        <v>265</v>
      </c>
    </row>
    <row r="12" spans="1:2" s="3" customFormat="1" x14ac:dyDescent="0.25">
      <c r="A12" s="3" t="s">
        <v>266</v>
      </c>
      <c r="B12" s="3" t="s">
        <v>267</v>
      </c>
    </row>
    <row r="13" spans="1:2" s="3" customFormat="1" x14ac:dyDescent="0.25">
      <c r="A13" s="3" t="s">
        <v>268</v>
      </c>
      <c r="B13" s="3" t="s">
        <v>269</v>
      </c>
    </row>
    <row r="14" spans="1:2" s="3" customFormat="1" x14ac:dyDescent="0.25">
      <c r="A14" s="3" t="s">
        <v>270</v>
      </c>
      <c r="B14" s="3" t="s">
        <v>145</v>
      </c>
    </row>
    <row r="15" spans="1:2" s="3" customFormat="1" x14ac:dyDescent="0.25">
      <c r="A15" s="3" t="s">
        <v>271</v>
      </c>
      <c r="B15" s="3" t="s">
        <v>145</v>
      </c>
    </row>
    <row r="16" spans="1:2" s="3" customFormat="1" x14ac:dyDescent="0.25">
      <c r="A16" s="3" t="s">
        <v>272</v>
      </c>
      <c r="B16" s="3" t="s">
        <v>273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17" customFormat="1" x14ac:dyDescent="0.25">
      <c r="A1" s="17" t="s">
        <v>212</v>
      </c>
      <c r="B1" s="17" t="s">
        <v>274</v>
      </c>
      <c r="C1" s="17" t="s">
        <v>275</v>
      </c>
      <c r="D1" s="17" t="s">
        <v>276</v>
      </c>
      <c r="E1" s="17" t="s">
        <v>277</v>
      </c>
      <c r="F1" s="17" t="s">
        <v>278</v>
      </c>
      <c r="G1" s="17" t="s">
        <v>279</v>
      </c>
      <c r="H1" s="17" t="s">
        <v>280</v>
      </c>
      <c r="I1" s="17" t="s">
        <v>281</v>
      </c>
      <c r="J1" s="17" t="s">
        <v>282</v>
      </c>
    </row>
    <row r="2" spans="1:10" s="3" customFormat="1" x14ac:dyDescent="0.25">
      <c r="A2" s="3">
        <v>1</v>
      </c>
      <c r="B2" s="3" t="s">
        <v>283</v>
      </c>
      <c r="C2" s="3" t="s">
        <v>283</v>
      </c>
      <c r="D2" s="3" t="s">
        <v>283</v>
      </c>
      <c r="E2" s="3" t="s">
        <v>283</v>
      </c>
      <c r="F2" s="3" t="s">
        <v>283</v>
      </c>
      <c r="G2" s="3" t="s">
        <v>283</v>
      </c>
      <c r="H2" s="3" t="s">
        <v>283</v>
      </c>
      <c r="I2" s="3" t="s">
        <v>283</v>
      </c>
      <c r="J2" s="3" t="s">
        <v>283</v>
      </c>
    </row>
    <row r="3" spans="1:10" s="3" customFormat="1" x14ac:dyDescent="0.25">
      <c r="A3" s="3">
        <v>2</v>
      </c>
      <c r="B3" s="3" t="s">
        <v>284</v>
      </c>
      <c r="C3" s="3" t="s">
        <v>284</v>
      </c>
      <c r="D3" s="3" t="s">
        <v>284</v>
      </c>
      <c r="E3" s="3" t="s">
        <v>284</v>
      </c>
      <c r="F3" s="3" t="s">
        <v>284</v>
      </c>
      <c r="G3" s="3" t="s">
        <v>284</v>
      </c>
      <c r="H3" s="3" t="s">
        <v>284</v>
      </c>
      <c r="I3" s="3" t="s">
        <v>284</v>
      </c>
      <c r="J3" s="3" t="s">
        <v>284</v>
      </c>
    </row>
    <row r="4" spans="1:10" s="3" customFormat="1" x14ac:dyDescent="0.25">
      <c r="A4" s="3">
        <v>3</v>
      </c>
      <c r="B4" s="3" t="s">
        <v>115</v>
      </c>
      <c r="C4" s="3" t="s">
        <v>179</v>
      </c>
      <c r="D4" s="3" t="s">
        <v>285</v>
      </c>
      <c r="E4" s="3" t="s">
        <v>285</v>
      </c>
      <c r="F4" s="3" t="s">
        <v>286</v>
      </c>
      <c r="G4" s="3" t="s">
        <v>287</v>
      </c>
      <c r="H4" s="3" t="s">
        <v>288</v>
      </c>
      <c r="I4" s="3" t="s">
        <v>162</v>
      </c>
      <c r="J4" s="3" t="s">
        <v>289</v>
      </c>
    </row>
    <row r="5" spans="1:10" s="3" customFormat="1" x14ac:dyDescent="0.25">
      <c r="A5" s="3">
        <v>4</v>
      </c>
      <c r="B5" s="3" t="s">
        <v>115</v>
      </c>
      <c r="C5" s="3" t="s">
        <v>179</v>
      </c>
      <c r="D5" s="3" t="s">
        <v>290</v>
      </c>
      <c r="E5" s="3" t="s">
        <v>291</v>
      </c>
      <c r="F5" s="3" t="s">
        <v>286</v>
      </c>
      <c r="G5" s="3" t="s">
        <v>287</v>
      </c>
      <c r="H5" s="3" t="s">
        <v>288</v>
      </c>
      <c r="I5" s="3" t="s">
        <v>162</v>
      </c>
      <c r="J5" s="3" t="s">
        <v>289</v>
      </c>
    </row>
    <row r="6" spans="1:10" s="3" customFormat="1" x14ac:dyDescent="0.25">
      <c r="A6" s="3">
        <v>5</v>
      </c>
      <c r="B6" s="3" t="s">
        <v>292</v>
      </c>
      <c r="C6" s="3" t="s">
        <v>145</v>
      </c>
      <c r="D6" s="3" t="s">
        <v>145</v>
      </c>
      <c r="E6" s="3" t="s">
        <v>145</v>
      </c>
      <c r="F6" s="3" t="s">
        <v>293</v>
      </c>
      <c r="G6" s="3" t="s">
        <v>145</v>
      </c>
      <c r="H6" s="3" t="s">
        <v>145</v>
      </c>
      <c r="I6" s="3" t="s">
        <v>145</v>
      </c>
      <c r="J6" s="3" t="s">
        <v>145</v>
      </c>
    </row>
    <row r="7" spans="1:10" s="3" customFormat="1" x14ac:dyDescent="0.25">
      <c r="A7" s="3">
        <v>6</v>
      </c>
      <c r="B7" s="3" t="s">
        <v>294</v>
      </c>
      <c r="C7" s="3" t="s">
        <v>97</v>
      </c>
      <c r="D7" s="3" t="s">
        <v>295</v>
      </c>
      <c r="E7" s="3" t="s">
        <v>145</v>
      </c>
      <c r="F7" s="3" t="s">
        <v>296</v>
      </c>
      <c r="G7" s="3" t="s">
        <v>188</v>
      </c>
      <c r="H7" s="3" t="s">
        <v>187</v>
      </c>
      <c r="I7" s="3" t="s">
        <v>145</v>
      </c>
      <c r="J7" s="3" t="s">
        <v>297</v>
      </c>
    </row>
    <row r="8" spans="1:10" s="3" customFormat="1" x14ac:dyDescent="0.25">
      <c r="A8" s="3">
        <v>7</v>
      </c>
      <c r="B8" s="3" t="s">
        <v>294</v>
      </c>
      <c r="C8" s="3" t="s">
        <v>97</v>
      </c>
      <c r="D8" s="3" t="s">
        <v>298</v>
      </c>
      <c r="E8" s="3" t="s">
        <v>145</v>
      </c>
      <c r="F8" s="3" t="s">
        <v>299</v>
      </c>
      <c r="G8" s="3" t="s">
        <v>188</v>
      </c>
      <c r="H8" s="3" t="s">
        <v>187</v>
      </c>
      <c r="I8" s="3" t="s">
        <v>145</v>
      </c>
      <c r="J8" s="3" t="s">
        <v>300</v>
      </c>
    </row>
    <row r="9" spans="1:10" s="3" customFormat="1" x14ac:dyDescent="0.25">
      <c r="A9" s="3">
        <v>8</v>
      </c>
      <c r="B9" s="3" t="s">
        <v>301</v>
      </c>
      <c r="C9" s="3" t="s">
        <v>177</v>
      </c>
      <c r="D9" s="3" t="s">
        <v>145</v>
      </c>
      <c r="E9" s="3" t="s">
        <v>302</v>
      </c>
      <c r="F9" s="3" t="s">
        <v>303</v>
      </c>
      <c r="G9" s="3" t="s">
        <v>180</v>
      </c>
      <c r="H9" s="3" t="s">
        <v>145</v>
      </c>
      <c r="I9" s="3" t="s">
        <v>81</v>
      </c>
      <c r="J9" s="3" t="s">
        <v>304</v>
      </c>
    </row>
    <row r="10" spans="1:10" s="3" customFormat="1" x14ac:dyDescent="0.25">
      <c r="A10" s="3">
        <v>9</v>
      </c>
      <c r="B10" s="3" t="s">
        <v>305</v>
      </c>
      <c r="C10" s="3" t="s">
        <v>90</v>
      </c>
      <c r="D10" s="3" t="s">
        <v>145</v>
      </c>
      <c r="E10" s="3" t="s">
        <v>306</v>
      </c>
      <c r="F10" s="3" t="s">
        <v>307</v>
      </c>
      <c r="G10" s="3" t="s">
        <v>184</v>
      </c>
      <c r="H10" s="3" t="s">
        <v>145</v>
      </c>
      <c r="I10" s="3" t="s">
        <v>145</v>
      </c>
      <c r="J10" s="3" t="s">
        <v>308</v>
      </c>
    </row>
    <row r="11" spans="1:10" s="3" customFormat="1" x14ac:dyDescent="0.25">
      <c r="A11" s="3">
        <v>10</v>
      </c>
      <c r="B11" s="3" t="s">
        <v>309</v>
      </c>
      <c r="C11" s="3" t="s">
        <v>145</v>
      </c>
      <c r="D11" s="3" t="s">
        <v>145</v>
      </c>
      <c r="E11" s="3" t="s">
        <v>145</v>
      </c>
      <c r="F11" s="3" t="s">
        <v>307</v>
      </c>
      <c r="G11" s="3" t="s">
        <v>145</v>
      </c>
      <c r="H11" s="3" t="s">
        <v>145</v>
      </c>
      <c r="I11" s="3" t="s">
        <v>145</v>
      </c>
      <c r="J11" s="3" t="s">
        <v>145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212</v>
      </c>
      <c r="B1" s="17" t="s">
        <v>274</v>
      </c>
      <c r="C1" s="17" t="s">
        <v>275</v>
      </c>
      <c r="D1" s="17" t="s">
        <v>276</v>
      </c>
      <c r="E1" s="17" t="s">
        <v>277</v>
      </c>
      <c r="F1" s="17" t="s">
        <v>278</v>
      </c>
      <c r="G1" s="17" t="s">
        <v>279</v>
      </c>
    </row>
    <row r="2" spans="1:7" s="3" customFormat="1" x14ac:dyDescent="0.25">
      <c r="A2" s="3">
        <v>1</v>
      </c>
      <c r="B2" s="3" t="s">
        <v>115</v>
      </c>
      <c r="C2" s="3" t="s">
        <v>179</v>
      </c>
      <c r="D2" s="3" t="s">
        <v>287</v>
      </c>
      <c r="E2" s="3" t="s">
        <v>120</v>
      </c>
      <c r="F2" s="3" t="s">
        <v>288</v>
      </c>
      <c r="G2" s="3" t="s">
        <v>162</v>
      </c>
    </row>
    <row r="3" spans="1:7" s="3" customFormat="1" x14ac:dyDescent="0.25">
      <c r="A3" s="3">
        <v>2</v>
      </c>
      <c r="B3" s="3" t="s">
        <v>294</v>
      </c>
      <c r="C3" s="3" t="s">
        <v>97</v>
      </c>
      <c r="D3" s="3" t="s">
        <v>188</v>
      </c>
      <c r="E3" s="3" t="s">
        <v>227</v>
      </c>
      <c r="F3" s="3" t="s">
        <v>187</v>
      </c>
      <c r="G3" s="3" t="s">
        <v>145</v>
      </c>
    </row>
    <row r="4" spans="1:7" s="3" customFormat="1" x14ac:dyDescent="0.25">
      <c r="A4" s="3">
        <v>3</v>
      </c>
      <c r="B4" s="3" t="s">
        <v>301</v>
      </c>
      <c r="C4" s="3" t="s">
        <v>177</v>
      </c>
      <c r="D4" s="3" t="s">
        <v>180</v>
      </c>
      <c r="E4" s="3" t="s">
        <v>228</v>
      </c>
      <c r="F4" s="3" t="s">
        <v>145</v>
      </c>
      <c r="G4" s="3" t="s">
        <v>81</v>
      </c>
    </row>
    <row r="5" spans="1:7" s="3" customFormat="1" x14ac:dyDescent="0.25">
      <c r="A5" s="3">
        <v>4</v>
      </c>
      <c r="B5" s="3" t="s">
        <v>305</v>
      </c>
      <c r="C5" s="3" t="s">
        <v>90</v>
      </c>
      <c r="D5" s="3" t="s">
        <v>184</v>
      </c>
      <c r="E5" s="3" t="s">
        <v>229</v>
      </c>
      <c r="F5" s="3" t="s">
        <v>145</v>
      </c>
      <c r="G5" s="3" t="s">
        <v>145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230</v>
      </c>
      <c r="B1" s="17" t="s">
        <v>310</v>
      </c>
      <c r="C1" s="17" t="s">
        <v>311</v>
      </c>
      <c r="D1" s="17" t="s">
        <v>312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17" customFormat="1" x14ac:dyDescent="0.25">
      <c r="A1" s="17" t="s">
        <v>114</v>
      </c>
      <c r="B1" s="17" t="s">
        <v>313</v>
      </c>
      <c r="C1" s="17" t="s">
        <v>314</v>
      </c>
      <c r="D1" s="17" t="s">
        <v>315</v>
      </c>
      <c r="E1" s="17" t="s">
        <v>316</v>
      </c>
      <c r="F1" s="17" t="s">
        <v>317</v>
      </c>
      <c r="G1" s="17" t="s">
        <v>318</v>
      </c>
      <c r="H1" s="17" t="s">
        <v>319</v>
      </c>
      <c r="I1" s="17" t="s">
        <v>320</v>
      </c>
      <c r="J1" s="17" t="s">
        <v>321</v>
      </c>
      <c r="K1" s="17" t="s">
        <v>322</v>
      </c>
      <c r="L1" s="17" t="s">
        <v>323</v>
      </c>
      <c r="M1" s="17" t="s">
        <v>324</v>
      </c>
      <c r="N1" s="17" t="s">
        <v>325</v>
      </c>
      <c r="O1" s="17" t="s">
        <v>69</v>
      </c>
      <c r="P1" s="17" t="s">
        <v>326</v>
      </c>
    </row>
    <row r="2" spans="1:16" s="3" customFormat="1" x14ac:dyDescent="0.25">
      <c r="A2" s="3" t="s">
        <v>4</v>
      </c>
      <c r="B2" s="3" t="s">
        <v>327</v>
      </c>
      <c r="C2" s="3" t="s">
        <v>176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115</v>
      </c>
      <c r="J2" s="3" t="s">
        <v>328</v>
      </c>
      <c r="K2" s="3" t="s">
        <v>145</v>
      </c>
      <c r="L2" s="3" t="s">
        <v>145</v>
      </c>
      <c r="M2" s="3" t="s">
        <v>115</v>
      </c>
      <c r="N2" s="3" t="s">
        <v>329</v>
      </c>
      <c r="O2" s="3" t="s">
        <v>330</v>
      </c>
      <c r="P2" s="3" t="s">
        <v>331</v>
      </c>
    </row>
    <row r="3" spans="1:16" s="3" customFormat="1" x14ac:dyDescent="0.25">
      <c r="A3" s="3" t="s">
        <v>4</v>
      </c>
      <c r="B3" s="3" t="s">
        <v>327</v>
      </c>
      <c r="C3" s="3" t="s">
        <v>176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179</v>
      </c>
      <c r="J3" s="3" t="s">
        <v>332</v>
      </c>
      <c r="K3" s="3" t="s">
        <v>145</v>
      </c>
      <c r="L3" s="3" t="s">
        <v>145</v>
      </c>
      <c r="M3" s="3" t="s">
        <v>179</v>
      </c>
      <c r="N3" s="3" t="s">
        <v>333</v>
      </c>
      <c r="O3" s="3" t="s">
        <v>330</v>
      </c>
      <c r="P3" s="3" t="s">
        <v>331</v>
      </c>
    </row>
    <row r="4" spans="1:16" s="3" customFormat="1" x14ac:dyDescent="0.25">
      <c r="A4" s="3" t="s">
        <v>4</v>
      </c>
      <c r="B4" s="3" t="s">
        <v>327</v>
      </c>
      <c r="C4" s="3" t="s">
        <v>176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290</v>
      </c>
      <c r="J4" s="3" t="s">
        <v>145</v>
      </c>
      <c r="K4" s="3" t="s">
        <v>285</v>
      </c>
      <c r="L4" s="3" t="s">
        <v>334</v>
      </c>
      <c r="M4" s="3" t="s">
        <v>290</v>
      </c>
      <c r="N4" s="3" t="s">
        <v>335</v>
      </c>
      <c r="O4" s="3" t="s">
        <v>330</v>
      </c>
      <c r="P4" s="3" t="s">
        <v>331</v>
      </c>
    </row>
    <row r="5" spans="1:16" s="3" customFormat="1" x14ac:dyDescent="0.25">
      <c r="A5" s="3" t="s">
        <v>4</v>
      </c>
      <c r="B5" s="3" t="s">
        <v>327</v>
      </c>
      <c r="C5" s="3" t="s">
        <v>176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291</v>
      </c>
      <c r="J5" s="3" t="s">
        <v>145</v>
      </c>
      <c r="K5" s="3" t="s">
        <v>285</v>
      </c>
      <c r="L5" s="3" t="s">
        <v>334</v>
      </c>
      <c r="M5" s="3" t="s">
        <v>291</v>
      </c>
      <c r="N5" s="3" t="s">
        <v>336</v>
      </c>
      <c r="O5" s="3" t="s">
        <v>330</v>
      </c>
      <c r="P5" s="3" t="s">
        <v>331</v>
      </c>
    </row>
    <row r="6" spans="1:16" s="3" customFormat="1" x14ac:dyDescent="0.25">
      <c r="A6" s="3" t="s">
        <v>4</v>
      </c>
      <c r="B6" s="3" t="s">
        <v>327</v>
      </c>
      <c r="C6" s="3" t="s">
        <v>176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286</v>
      </c>
      <c r="J6" s="3" t="s">
        <v>337</v>
      </c>
      <c r="K6" s="3" t="s">
        <v>145</v>
      </c>
      <c r="L6" s="3" t="s">
        <v>145</v>
      </c>
      <c r="M6" s="3" t="s">
        <v>286</v>
      </c>
      <c r="N6" s="3" t="s">
        <v>145</v>
      </c>
      <c r="O6" s="3" t="s">
        <v>330</v>
      </c>
      <c r="P6" s="3" t="s">
        <v>331</v>
      </c>
    </row>
    <row r="7" spans="1:16" s="3" customFormat="1" x14ac:dyDescent="0.25">
      <c r="A7" s="3" t="s">
        <v>4</v>
      </c>
      <c r="B7" s="3" t="s">
        <v>327</v>
      </c>
      <c r="C7" s="3" t="s">
        <v>176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287</v>
      </c>
      <c r="J7" s="3" t="s">
        <v>338</v>
      </c>
      <c r="K7" s="3" t="s">
        <v>145</v>
      </c>
      <c r="L7" s="3" t="s">
        <v>145</v>
      </c>
      <c r="M7" s="3" t="s">
        <v>287</v>
      </c>
      <c r="N7" s="3" t="s">
        <v>145</v>
      </c>
      <c r="O7" s="3" t="s">
        <v>330</v>
      </c>
      <c r="P7" s="3" t="s">
        <v>331</v>
      </c>
    </row>
    <row r="8" spans="1:16" s="3" customFormat="1" x14ac:dyDescent="0.25">
      <c r="A8" s="3" t="s">
        <v>4</v>
      </c>
      <c r="B8" s="3" t="s">
        <v>327</v>
      </c>
      <c r="C8" s="3" t="s">
        <v>176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288</v>
      </c>
      <c r="J8" s="3" t="s">
        <v>339</v>
      </c>
      <c r="K8" s="3" t="s">
        <v>145</v>
      </c>
      <c r="L8" s="3" t="s">
        <v>145</v>
      </c>
      <c r="M8" s="3" t="s">
        <v>288</v>
      </c>
      <c r="N8" s="3" t="s">
        <v>145</v>
      </c>
      <c r="O8" s="3" t="s">
        <v>330</v>
      </c>
      <c r="P8" s="3" t="s">
        <v>331</v>
      </c>
    </row>
    <row r="9" spans="1:16" s="3" customFormat="1" x14ac:dyDescent="0.25">
      <c r="A9" s="3" t="s">
        <v>4</v>
      </c>
      <c r="B9" s="3" t="s">
        <v>327</v>
      </c>
      <c r="C9" s="3" t="s">
        <v>176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162</v>
      </c>
      <c r="J9" s="3" t="s">
        <v>340</v>
      </c>
      <c r="K9" s="3" t="s">
        <v>145</v>
      </c>
      <c r="L9" s="3" t="s">
        <v>145</v>
      </c>
      <c r="M9" s="3" t="s">
        <v>162</v>
      </c>
      <c r="N9" s="3" t="s">
        <v>145</v>
      </c>
      <c r="O9" s="3" t="s">
        <v>330</v>
      </c>
      <c r="P9" s="3" t="s">
        <v>331</v>
      </c>
    </row>
    <row r="10" spans="1:16" s="3" customFormat="1" x14ac:dyDescent="0.25">
      <c r="A10" s="3" t="s">
        <v>4</v>
      </c>
      <c r="B10" s="3" t="s">
        <v>327</v>
      </c>
      <c r="C10" s="3" t="s">
        <v>176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289</v>
      </c>
      <c r="J10" s="3" t="s">
        <v>341</v>
      </c>
      <c r="K10" s="3" t="s">
        <v>145</v>
      </c>
      <c r="L10" s="3" t="s">
        <v>145</v>
      </c>
      <c r="M10" s="3" t="s">
        <v>289</v>
      </c>
      <c r="N10" s="3" t="s">
        <v>145</v>
      </c>
      <c r="O10" s="3" t="s">
        <v>330</v>
      </c>
      <c r="P10" s="3" t="s">
        <v>331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342</v>
      </c>
      <c r="B1" s="17" t="s">
        <v>343</v>
      </c>
    </row>
    <row r="2" spans="1:2" s="3" customFormat="1" x14ac:dyDescent="0.25">
      <c r="A2" s="3" t="s">
        <v>344</v>
      </c>
      <c r="B2" s="3" t="s">
        <v>345</v>
      </c>
    </row>
    <row r="3" spans="1:2" s="3" customFormat="1" x14ac:dyDescent="0.25">
      <c r="A3" s="3" t="s">
        <v>346</v>
      </c>
      <c r="B3" s="3" t="s">
        <v>327</v>
      </c>
    </row>
    <row r="4" spans="1:2" s="3" customFormat="1" x14ac:dyDescent="0.25">
      <c r="A4" s="3" t="s">
        <v>347</v>
      </c>
      <c r="B4" s="3" t="s">
        <v>348</v>
      </c>
    </row>
    <row r="5" spans="1:2" s="3" customFormat="1" x14ac:dyDescent="0.25">
      <c r="A5" s="3" t="s">
        <v>349</v>
      </c>
      <c r="B5" s="4">
        <v>46295.66722636574</v>
      </c>
    </row>
    <row r="6" spans="1:2" s="3" customFormat="1" x14ac:dyDescent="0.25">
      <c r="A6" s="3" t="s">
        <v>350</v>
      </c>
      <c r="B6" s="3" t="s">
        <v>351</v>
      </c>
    </row>
    <row r="7" spans="1:2" s="3" customFormat="1" x14ac:dyDescent="0.25">
      <c r="A7" s="3" t="s">
        <v>352</v>
      </c>
      <c r="B7" s="3" t="s">
        <v>353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2026-09-30T16:00:48Z</dcterms:created>
  <dcterms:modified xsi:type="dcterms:W3CDTF">2026-09-30T16:00:48Z</dcterms:modified>
</cp:coreProperties>
</file>