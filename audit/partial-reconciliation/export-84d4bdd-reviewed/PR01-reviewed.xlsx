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<sst xmlns="http://schemas.openxmlformats.org/spreadsheetml/2006/main" count="574" uniqueCount="296">
  <si>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</si>
  <si>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</si>
  <si>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</si>
  <si>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</si>
  <si>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</si>
  <si>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vendor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</si>
  <si>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</si>
  <si>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</si>
  <si>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</si>
  <si>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</si>
  <si>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</si>
  <si>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</si>
  <si>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</si>
  <si>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</si>
  <si>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</si>
  <si>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</si>
  <si>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</si>
  <si>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</si>
  <si>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</si>
  <si>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</si>
  <si>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</si>
  <si>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AP-PARTIAL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</si>
  <si>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</si>
  <si>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</si>
  <si>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</si>
  <si>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</si>
  <si>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</si>
  <si>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</si>
  <si>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</si>
  <si>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</si>
  <si>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</si>
  <si>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</si>
  <si>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</si>
  <si>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</si>
  <si>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</si>
  <si>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</si>
  <si>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</si>
  <si>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</si>
  <si>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</si>
  <si>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</si>
  <si>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</si>
  <si>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</si>
  <si>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</si>
  <si>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</si>
  <si>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</si>
  <si>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</si>
  <si>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</si>
  <si>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</si>
  <si>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</si>
  <si>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</si>
  <si>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</si>
  <si>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</si>
  <si>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</si>
  <si>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</si>
  <si>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</si>
  <si>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</si>
  <si>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</si>
  <si>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</si>
  <si>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</si>
  <si>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</si>
  <si>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</si>
  <si>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</si>
  <si>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</si>
  <si>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</si>
  <si>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</si>
  <si>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</si>
  <si>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</si>
  <si>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</si>
  <si>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</si>
  <si>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</si>
  <si>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</si>
  <si>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</si>
  <si>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</si>
  <si>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</si>
  <si>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</si>
  <si>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</si>
  <si>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</si>
  <si>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</si>
  <si>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</si>
  <si>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</si>
  <si>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</si>
  <si>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</si>
  <si>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</si>
  <si>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</si>
  <si>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</si>
  <si>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</si>
  <si>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</si>
  <si>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</si>
  <si>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CASE-55D119C7</t>
  </si>
  <si>
    <t>1:1</t>
  </si>
  <si>
    <t>DOC-INV-A101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</si>
  <si>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</si>
  <si>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</si>
  <si>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</si>
  <si>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</si>
  <si>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</si>
  <si>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</si>
  <si>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</si>
  <si>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CASE-8BB3C1D3</t>
  </si>
  <si>
    <t>DOC-INV-C101</t>
  </si>
  <si>
    <t>supplier · CSV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</si>
  <si>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</si>
  <si>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</si>
  <si>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</si>
  <si>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</si>
  <si>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</si>
  <si>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</si>
  <si>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</si>
  <si>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</si>
  <si>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</si>
  <si>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</si>
  <si>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</si>
  <si>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</si>
  <si>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</si>
  <si>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</si>
  <si>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</si>
  <si>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</si>
  <si>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</si>
  <si>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</si>
  <si>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</si>
  <si>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</si>
  <si>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</si>
  <si>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CASE-1AA62F2D</t>
  </si>
  <si>
    <t>ledger</t>
  </si>
  <si>
    <t>Invoice</t>
  </si>
  <si>
    <t>DOC-INV-BAD101</t>
  </si>
  <si>
    <t>L-V-INV-BAD101</t>
  </si>
  <si>
    <t>مستند الدفتر DOC-INV-BAD101 بمبلغ 12.34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</si>
  <si>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</si>
  <si>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</si>
  <si>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</si>
  <si>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</si>
  <si>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</si>
  <si>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</si>
  <si>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</si>
  <si>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CASE-1AA62F2D</t>
  </si>
  <si>
    <t>Balance bridge prerequisites are incomplete. Case adjustments above are transaction effects only.</t>
  </si>
  <si>
    <t>Reviewer Name</t>
  </si>
  <si>
    <t>Synthetic independent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</si>
  <si>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</si>
  <si>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</si>
  <si>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</si>
  <si>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</si>
  <si>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</si>
  <si>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</si>
  <si>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</si>
  <si>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</si>
  <si>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Reviewed visible rows; unread original amount remains unresolved. No completion approval.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</si>
  <si>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</si>
  <si>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</si>
  <si>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</si>
  <si>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</si>
  <si>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</si>
  <si>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</si>
  <si>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</si>
  <si>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</si>
  <si>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ledger:0:3</t>
  </si>
  <si>
    <t>المورد: لم تتحقق معادلة الرصيد. راجع المصدر وإشارات المبالغ والفترة.</t>
  </si>
  <si>
    <t/>
  </si>
  <si>
    <t>الدفتر: لم تتحقق معادلة الرصيد. راجع المصدر وإشارات المبالغ والفترة.</t>
  </si>
  <si>
    <t>EXACT_1_TO_1</t>
  </si>
  <si>
    <t>supplier:0:2 | ledger:0:2</t>
  </si>
  <si>
    <t>supplier:0:4 | ledger:0:4</t>
  </si>
  <si>
    <t>NO_SUPPLIER_COUNTERPART</t>
  </si>
  <si>
    <t>لم يُعثر في الملفات المقدمة على حركة مورد تصلح مقابلًا لهذه الحركة.</t>
  </si>
  <si>
    <t>SOURCE_ROW_READING_ERROR</t>
  </si>
  <si>
    <t>supplier | PR01-supplier.csv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</si>
  <si>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</si>
  <si>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</si>
  <si>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</si>
  <si>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</si>
  <si>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</si>
  <si>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</si>
  <si>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</si>
  <si>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PR01-supplier.csv</t>
  </si>
  <si>
    <t>Row</t>
  </si>
  <si>
    <t>المبلغ غير صالح أو يتجاوز عدد المنازل العشرية للعملة</t>
  </si>
  <si>
    <t>["2026-08-12","DOC-INV-BAD101","INV-BAD101","12x.34","Invoice","","","S-V-INV-BAD101","SAR","Invoice","S-LOCAL-INV-BAD101"]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</si>
  <si>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</si>
  <si>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</si>
  <si>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</si>
  <si>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</si>
  <si>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</si>
  <si>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</si>
  <si>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</si>
  <si>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</si>
  <si>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</si>
  <si>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</si>
  <si>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</si>
  <si>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S-V-INV-A101</t>
  </si>
  <si>
    <t>mappedReference (Reference): INV-A101</t>
  </si>
  <si>
    <t>ledger:0:2</t>
  </si>
  <si>
    <t>L-V-INV-A101</t>
  </si>
  <si>
    <t>supplier:0:4</t>
  </si>
  <si>
    <t>S-V-INV-C101</t>
  </si>
  <si>
    <t>mappedReference (Reference): INV-C101</t>
  </si>
  <si>
    <t>ledger:0:4</t>
  </si>
  <si>
    <t>L-V-INV-C101</t>
  </si>
  <si>
    <t>NO_VIABLE_SUPPLIER_COUNTERPART</t>
  </si>
  <si>
    <t>mappedReference (Reference): INV-BAD101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</si>
  <si>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</si>
  <si>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</si>
  <si>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</si>
  <si>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</si>
  <si>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</si>
  <si>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</si>
  <si>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</si>
  <si>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</si>
  <si>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</si>
  <si>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</si>
  <si>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</si>
  <si>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</si>
  <si>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</si>
  <si>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DOCINVA101</t>
  </si>
  <si>
    <t>125.75</t>
  </si>
  <si>
    <t>DOCINVC101</t>
  </si>
  <si>
    <t>Credit Note</t>
  </si>
  <si>
    <t>-40.25</t>
  </si>
  <si>
    <t>DOCINVBAD101</t>
  </si>
  <si>
    <t>12.34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</si>
  <si>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</si>
  <si>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</si>
  <si>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</si>
  <si>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</si>
  <si>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</si>
  <si>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No","Reference","Amount","Document Type","Bank Reference","Receipt No","AP Voucher","Currency","Description","Source Record ID"]</t>
  </si>
  <si>
    <t>الدفتر</t>
  </si>
  <si>
    <t>الحقل</t>
  </si>
  <si>
    <t>القيمة</t>
  </si>
  <si>
    <t>Scope</t>
  </si>
  <si>
    <t>{"supplier":"Synthetic partial vendor","entity":"Synthetic partial buyer","account":"AP-PARTIAL","currency":"SAR","decimals":2,"cutoff":"2026-08-31","dateWindow":0,"confirmed":true,"coverageConfirmed":true}</t>
  </si>
  <si>
    <t>Supplier mapping</t>
  </si>
  <si>
    <t>{"sheet":0,"header":0,"date":0,"reference":2,"amount":3,"description":9,"currencyColumn":8,"debit":-1,"credit":-1,"mode":"signed","multiplier":1,"numberFormat":"dot","dateFormat":"ymd","reportType":"transactions","opening":"0.00","closing":"85.50","periodStart":"","excluded":{}}</t>
  </si>
  <si>
    <t>Ledger mapping</t>
  </si>
  <si>
    <t>{"sheet":0,"header":0,"date":0,"reference":2,"amount":3,"description":9,"currencyColumn":8,"debit":-1,"credit":-1,"mode":"signed","multiplier":1,"numberFormat":"dot","dateFormat":"ymd","reportType":"transactions","opening":"0.00","closing":"97.84","periodStart":"","excluded":{}}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</si>
  <si>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</si>
  <si>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</si>
  <si>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</si>
  <si>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</si>
  <si>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9,"originalValue":"SAR","method":"literal"}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</si>
  <si>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</si>
  <si>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</si>
  <si>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</si>
  <si>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</si>
  <si>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</si>
  <si>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</si>
  <si>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</si>
  <si>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</si>
  <si>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PR01-ledger.csv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</si>
  <si>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</si>
  <si>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</si>
  <si>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</si>
  <si>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</si>
  <si>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</si>
  <si>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</si>
  <si>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</si>
  <si>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</si>
  <si>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</si>
  <si>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</si>
  <si>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</si>
  <si>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</si>
  <si>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</si>
  <si>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</si>
  <si>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</si>
  <si>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</si>
  <si>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Receipt No</t>
  </si>
  <si>
    <t>AP Voucher</t>
  </si>
  <si>
    <t>Source Record ID</t>
  </si>
  <si>
    <t>2026-08-12</t>
  </si>
  <si>
    <t>INV-A101</t>
  </si>
  <si>
    <t>S-LOCAL-INV-A101</t>
  </si>
  <si>
    <t>INV-BAD101</t>
  </si>
  <si>
    <t>12x.34</t>
  </si>
  <si>
    <t>S-V-INV-BAD101</t>
  </si>
  <si>
    <t>S-LOCAL-INV-BAD101</t>
  </si>
  <si>
    <t>INV-C101</t>
  </si>
  <si>
    <t>S-LOCAL-INV-C101</t>
  </si>
  <si>
    <t>L-LOCAL-INV-A101</t>
  </si>
  <si>
    <t>L-LOCAL-INV-BAD101</t>
  </si>
  <si>
    <t>L-LOCAL-INV-C101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</si>
  <si>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</si>
  <si>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</si>
  <si>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</si>
  <si>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</si>
  <si>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</si>
  <si>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</si>
  <si>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</si>
  <si>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</si>
  <si>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d5f1728d395996ea0ea25a636bfa6cc98651faa47eb16eab8930d6cdfb976ccf</t>
  </si>
  <si>
    <t>Ledger SHA-256</t>
  </si>
  <si>
    <t>02f56a99230fcdb9f7f6254adfde5ab122269652a63b561cb917fb6c4a39bb09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</si>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</sst>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5" TargetMode="External"/><Relationship Id="rId4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5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85.5</v>
      </c>
    </row>
    <row r="20" ht="30" customHeight="1" spans="1:2" s="3" customFormat="1" x14ac:dyDescent="0.25">
      <c r="A20" s="3" t="s">
        <v>27</v>
      </c>
      <c r="B20" s="5">
        <v>97.84</v>
      </c>
    </row>
    <row r="21" ht="30" customHeight="1" spans="1:2" s="3" customFormat="1" x14ac:dyDescent="0.25">
      <c r="A21" s="3" t="s">
        <v>28</v>
      </c>
      <c r="B21" s="5">
        <f>B17-B18</f>
        <v>0</v>
      </c>
    </row>
    <row r="22" ht="30" customHeight="1" spans="1:2" s="3" customFormat="1" x14ac:dyDescent="0.25">
      <c r="A22" s="3" t="s">
        <v>29</v>
      </c>
      <c r="B22" s="5">
        <f>B19-B20</f>
        <v>-12.34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1</v>
      </c>
    </row>
    <row r="33" ht="30" customHeight="1" spans="1:2" s="3" customFormat="1" x14ac:dyDescent="0.25">
      <c r="A33" s="3" t="s">
        <v>43</v>
      </c>
      <c r="B33" s="6">
        <f>SUM('Unmatched'!K2:K2)</f>
        <v>1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Bridge'!E4</f>
        <v>12.34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5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85.5</v>
      </c>
    </row>
    <row r="49" ht="30" customHeight="1" spans="1:2" s="3" customFormat="1" x14ac:dyDescent="0.25">
      <c r="A49" s="3" t="s">
        <v>64</v>
      </c>
      <c r="B49" s="5">
        <v>97.84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46246</v>
      </c>
      <c r="D2" s="10" t="s">
        <v>90</v>
      </c>
      <c r="E2" s="12">
        <v>125.75</v>
      </c>
      <c r="F2" s="11">
        <v>46246</v>
      </c>
      <c r="G2" s="10" t="s">
        <v>90</v>
      </c>
      <c r="H2" s="12">
        <v>125.75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46246</v>
      </c>
      <c r="D3" s="10" t="s">
        <v>99</v>
      </c>
      <c r="E3" s="12">
        <v>-40.25</v>
      </c>
      <c r="F3" s="11">
        <v>46246</v>
      </c>
      <c r="G3" s="10" t="s">
        <v>99</v>
      </c>
      <c r="H3" s="12">
        <v>-40.25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5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  <row r="2" ht="42" customHeight="1" spans="1:11" s="14" customFormat="1" x14ac:dyDescent="0.25">
      <c r="A2" s="15" t="s">
        <v>122</v>
      </c>
      <c r="B2" s="15" t="s">
        <v>123</v>
      </c>
      <c r="C2" s="16">
        <v>46246</v>
      </c>
      <c r="D2" s="15" t="s">
        <v>124</v>
      </c>
      <c r="E2" s="15" t="s">
        <v>125</v>
      </c>
      <c r="F2" s="15" t="s">
        <v>126</v>
      </c>
      <c r="G2" s="15" t="s">
        <v>124</v>
      </c>
      <c r="H2" s="17">
        <v>12.34</v>
      </c>
      <c r="I2" s="15" t="s">
        <v>127</v>
      </c>
      <c r="J2" s="18" t="s">
        <v>128</v>
      </c>
      <c r="K2" s="15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129</v>
      </c>
      <c r="F1" s="2" t="s">
        <v>130</v>
      </c>
      <c r="G1" s="2" t="s">
        <v>131</v>
      </c>
      <c r="H1" s="2" t="s">
        <v>132</v>
      </c>
    </row>
    <row r="2" ht="42" customHeight="1" spans="1:8" x14ac:dyDescent="0.25">
      <c r="A2" s="3" t="s">
        <v>122</v>
      </c>
      <c r="B2" s="3" t="s">
        <v>133</v>
      </c>
      <c r="C2" s="19">
        <v>0</v>
      </c>
      <c r="D2" s="19">
        <v>12.34</v>
      </c>
      <c r="E2" s="19">
        <v>12.34</v>
      </c>
      <c r="F2" s="3" t="s">
        <v>127</v>
      </c>
      <c r="G2" s="3" t="s">
        <v>134</v>
      </c>
      <c r="H2" s="20" t="s">
        <v>135</v>
      </c>
    </row>
    <row r="4" ht="32" customHeight="1" spans="4:5" x14ac:dyDescent="0.25">
      <c r="D4" s="21" t="s">
        <v>46</v>
      </c>
      <c r="E4" s="7">
        <f>SUM(E2:E2)</f>
        <v>12.34</v>
      </c>
    </row>
    <row r="5" ht="32" customHeight="1" spans="4:5" x14ac:dyDescent="0.25">
      <c r="D5" s="21" t="s">
        <v>26</v>
      </c>
      <c r="E5" s="7">
        <v>85.5</v>
      </c>
    </row>
    <row r="6" ht="32" customHeight="1" spans="4:5" x14ac:dyDescent="0.25">
      <c r="D6" s="21" t="s">
        <v>47</v>
      </c>
      <c r="E6" s="7"/>
    </row>
    <row r="7" ht="32" customHeight="1" spans="4:5" x14ac:dyDescent="0.25">
      <c r="D7" s="21" t="s">
        <v>27</v>
      </c>
      <c r="E7" s="7">
        <v>97.84</v>
      </c>
    </row>
    <row r="8" ht="32" customHeight="1" spans="4:5" x14ac:dyDescent="0.25">
      <c r="D8" s="21" t="s">
        <v>48</v>
      </c>
      <c r="E8" s="7"/>
    </row>
    <row r="10" spans="1:8" x14ac:dyDescent="0.25">
      <c r="A10" s="22" t="s">
        <v>136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137</v>
      </c>
      <c r="B2" s="3" t="s">
        <v>138</v>
      </c>
    </row>
    <row r="3" ht="42" customHeight="1" spans="1:2" x14ac:dyDescent="0.25">
      <c r="A3" s="3" t="s">
        <v>139</v>
      </c>
    </row>
    <row r="4" ht="42" customHeight="1" spans="1:2" x14ac:dyDescent="0.25">
      <c r="A4" s="3" t="s">
        <v>140</v>
      </c>
      <c r="B4" s="3" t="s">
        <v>141</v>
      </c>
    </row>
    <row r="5" ht="42" customHeight="1" spans="1:2" x14ac:dyDescent="0.25">
      <c r="A5" s="3" t="s">
        <v>142</v>
      </c>
      <c r="B5" s="3" t="s">
        <v>143</v>
      </c>
    </row>
    <row r="6" ht="42" customHeight="1" spans="1:2" x14ac:dyDescent="0.25">
      <c r="A6" s="3" t="s">
        <v>144</v>
      </c>
      <c r="B6" s="3" t="s">
        <v>145</v>
      </c>
    </row>
    <row r="7" ht="42" customHeight="1" spans="1:2" x14ac:dyDescent="0.25">
      <c r="A7" s="3" t="s">
        <v>146</v>
      </c>
      <c r="B7" s="3" t="s">
        <v>147</v>
      </c>
    </row>
    <row r="8" ht="42" customHeight="1" spans="1:2" x14ac:dyDescent="0.25">
      <c r="A8" s="3" t="s">
        <v>2</v>
      </c>
      <c r="B8" s="3" t="s">
        <v>148</v>
      </c>
    </row>
    <row r="9" ht="42" customHeight="1" spans="1:2" x14ac:dyDescent="0.25">
      <c r="A9" s="3" t="s">
        <v>149</v>
      </c>
      <c r="B9" s="20" t="s">
        <v>150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151</v>
      </c>
      <c r="B1" s="23" t="s">
        <v>152</v>
      </c>
      <c r="C1" s="23" t="s">
        <v>153</v>
      </c>
    </row>
    <row r="2" spans="1:3" s="3" customFormat="1" x14ac:dyDescent="0.25">
      <c r="A2" s="3" t="s">
        <v>154</v>
      </c>
      <c r="B2" s="3" t="s">
        <v>155</v>
      </c>
      <c r="C2" s="3" t="s">
        <v>156</v>
      </c>
    </row>
    <row r="3" spans="1:3" s="3" customFormat="1" x14ac:dyDescent="0.25">
      <c r="A3" s="3" t="s">
        <v>31</v>
      </c>
      <c r="B3" s="3" t="s">
        <v>157</v>
      </c>
      <c r="C3" s="3" t="s">
        <v>158</v>
      </c>
    </row>
    <row r="4" spans="1:3" s="3" customFormat="1" x14ac:dyDescent="0.25">
      <c r="A4" s="3" t="s">
        <v>31</v>
      </c>
      <c r="B4" s="3" t="s">
        <v>159</v>
      </c>
      <c r="C4" s="3" t="s">
        <v>158</v>
      </c>
    </row>
    <row r="5" spans="1:3" s="3" customFormat="1" x14ac:dyDescent="0.25">
      <c r="A5" s="3" t="s">
        <v>160</v>
      </c>
      <c r="B5" s="3" t="s">
        <v>93</v>
      </c>
      <c r="C5" s="3" t="s">
        <v>161</v>
      </c>
    </row>
    <row r="6" spans="1:3" s="3" customFormat="1" x14ac:dyDescent="0.25">
      <c r="A6" s="3" t="s">
        <v>160</v>
      </c>
      <c r="B6" s="3" t="s">
        <v>93</v>
      </c>
      <c r="C6" s="3" t="s">
        <v>162</v>
      </c>
    </row>
    <row r="7" spans="1:3" s="3" customFormat="1" x14ac:dyDescent="0.25">
      <c r="A7" s="3" t="s">
        <v>163</v>
      </c>
      <c r="B7" s="3" t="s">
        <v>164</v>
      </c>
      <c r="C7" s="3" t="s">
        <v>156</v>
      </c>
    </row>
    <row r="8" spans="1:3" s="3" customFormat="1" x14ac:dyDescent="0.25">
      <c r="A8" s="3" t="s">
        <v>165</v>
      </c>
      <c r="B8" s="3" t="s">
        <v>166</v>
      </c>
      <c r="C8" s="3" t="s">
        <v>158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112</v>
      </c>
      <c r="B1" s="23" t="s">
        <v>167</v>
      </c>
      <c r="C1" s="23" t="s">
        <v>168</v>
      </c>
      <c r="D1" s="23" t="s">
        <v>169</v>
      </c>
      <c r="E1" s="23" t="s">
        <v>170</v>
      </c>
      <c r="F1" s="23" t="s">
        <v>171</v>
      </c>
      <c r="G1" s="23" t="s">
        <v>119</v>
      </c>
      <c r="H1" s="23" t="s">
        <v>172</v>
      </c>
    </row>
    <row r="2" spans="1:8" s="3" customFormat="1" x14ac:dyDescent="0.25">
      <c r="A2" s="3" t="s">
        <v>173</v>
      </c>
      <c r="B2" s="3" t="s">
        <v>174</v>
      </c>
      <c r="C2" s="3" t="s">
        <v>16</v>
      </c>
      <c r="D2" s="3"/>
      <c r="E2" s="3">
        <v>3</v>
      </c>
      <c r="F2" s="3" t="s">
        <v>175</v>
      </c>
      <c r="G2" s="3" t="s">
        <v>176</v>
      </c>
      <c r="H2" s="3" t="s">
        <v>177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1" customWidth="1"/>
  </cols>
  <sheetData>
    <row r="1" ht="28" customHeight="1" spans="1:23" s="23" customFormat="1" x14ac:dyDescent="0.25">
      <c r="A1" s="23" t="s">
        <v>69</v>
      </c>
      <c r="B1" s="23" t="s">
        <v>102</v>
      </c>
      <c r="C1" s="23" t="s">
        <v>81</v>
      </c>
      <c r="D1" s="23" t="s">
        <v>79</v>
      </c>
      <c r="E1" s="23" t="s">
        <v>80</v>
      </c>
      <c r="F1" s="23" t="s">
        <v>112</v>
      </c>
      <c r="G1" s="23" t="s">
        <v>178</v>
      </c>
      <c r="H1" s="23" t="s">
        <v>168</v>
      </c>
      <c r="I1" s="23" t="s">
        <v>170</v>
      </c>
      <c r="J1" s="23" t="s">
        <v>169</v>
      </c>
      <c r="K1" s="23" t="s">
        <v>113</v>
      </c>
      <c r="L1" s="23" t="s">
        <v>179</v>
      </c>
      <c r="M1" s="23" t="s">
        <v>180</v>
      </c>
      <c r="N1" s="23" t="s">
        <v>181</v>
      </c>
      <c r="O1" s="23" t="s">
        <v>182</v>
      </c>
      <c r="P1" s="23" t="s">
        <v>183</v>
      </c>
      <c r="Q1" s="23" t="s">
        <v>184</v>
      </c>
      <c r="R1" s="23" t="s">
        <v>8</v>
      </c>
      <c r="S1" s="24" t="s">
        <v>118</v>
      </c>
      <c r="T1" s="23" t="s">
        <v>120</v>
      </c>
      <c r="U1" s="23" t="s">
        <v>185</v>
      </c>
      <c r="V1" s="23" t="s">
        <v>186</v>
      </c>
      <c r="W1" s="23" t="s">
        <v>187</v>
      </c>
    </row>
    <row r="2" spans="1:23" s="3" customFormat="1" x14ac:dyDescent="0.25">
      <c r="A2" s="3" t="s">
        <v>88</v>
      </c>
      <c r="B2" s="3" t="s">
        <v>160</v>
      </c>
      <c r="C2" s="3" t="s">
        <v>94</v>
      </c>
      <c r="D2" s="3" t="s">
        <v>92</v>
      </c>
      <c r="E2" s="3" t="s">
        <v>93</v>
      </c>
      <c r="F2" s="3" t="s">
        <v>173</v>
      </c>
      <c r="G2" s="3" t="s">
        <v>188</v>
      </c>
      <c r="H2" s="3" t="s">
        <v>16</v>
      </c>
      <c r="I2" s="3">
        <v>2</v>
      </c>
      <c r="J2" s="3" t="s">
        <v>158</v>
      </c>
      <c r="K2" s="4">
        <v>46246</v>
      </c>
      <c r="L2" s="3" t="s">
        <v>90</v>
      </c>
      <c r="M2" s="3" t="s">
        <v>90</v>
      </c>
      <c r="N2" s="3" t="s">
        <v>189</v>
      </c>
      <c r="O2" s="3" t="s">
        <v>158</v>
      </c>
      <c r="P2" s="3" t="s">
        <v>158</v>
      </c>
      <c r="Q2" s="3" t="s">
        <v>158</v>
      </c>
      <c r="R2" s="3" t="s">
        <v>9</v>
      </c>
      <c r="S2" s="19">
        <v>125.75</v>
      </c>
      <c r="T2" s="3" t="s">
        <v>96</v>
      </c>
      <c r="U2" s="3" t="s">
        <v>158</v>
      </c>
      <c r="V2" s="3" t="s">
        <v>158</v>
      </c>
      <c r="W2" s="3" t="s">
        <v>190</v>
      </c>
    </row>
    <row r="3" spans="1:23" s="3" customFormat="1" x14ac:dyDescent="0.25">
      <c r="A3" s="3" t="s">
        <v>88</v>
      </c>
      <c r="B3" s="3" t="s">
        <v>160</v>
      </c>
      <c r="C3" s="3" t="s">
        <v>94</v>
      </c>
      <c r="D3" s="3" t="s">
        <v>92</v>
      </c>
      <c r="E3" s="3" t="s">
        <v>93</v>
      </c>
      <c r="F3" s="3" t="s">
        <v>123</v>
      </c>
      <c r="G3" s="3" t="s">
        <v>191</v>
      </c>
      <c r="H3" s="3" t="s">
        <v>16</v>
      </c>
      <c r="I3" s="3">
        <v>2</v>
      </c>
      <c r="J3" s="3" t="s">
        <v>158</v>
      </c>
      <c r="K3" s="4">
        <v>46246</v>
      </c>
      <c r="L3" s="3" t="s">
        <v>90</v>
      </c>
      <c r="M3" s="3" t="s">
        <v>90</v>
      </c>
      <c r="N3" s="3" t="s">
        <v>192</v>
      </c>
      <c r="O3" s="3" t="s">
        <v>158</v>
      </c>
      <c r="P3" s="3" t="s">
        <v>158</v>
      </c>
      <c r="Q3" s="3" t="s">
        <v>158</v>
      </c>
      <c r="R3" s="3" t="s">
        <v>9</v>
      </c>
      <c r="S3" s="19">
        <v>125.75</v>
      </c>
      <c r="T3" s="3" t="s">
        <v>97</v>
      </c>
      <c r="U3" s="3" t="s">
        <v>158</v>
      </c>
      <c r="V3" s="3" t="s">
        <v>158</v>
      </c>
      <c r="W3" s="3" t="s">
        <v>190</v>
      </c>
    </row>
    <row r="4" spans="1:23" s="3" customFormat="1" x14ac:dyDescent="0.25">
      <c r="A4" s="3" t="s">
        <v>98</v>
      </c>
      <c r="B4" s="3" t="s">
        <v>160</v>
      </c>
      <c r="C4" s="3" t="s">
        <v>94</v>
      </c>
      <c r="D4" s="3" t="s">
        <v>92</v>
      </c>
      <c r="E4" s="3" t="s">
        <v>93</v>
      </c>
      <c r="F4" s="3" t="s">
        <v>173</v>
      </c>
      <c r="G4" s="3" t="s">
        <v>193</v>
      </c>
      <c r="H4" s="3" t="s">
        <v>16</v>
      </c>
      <c r="I4" s="3">
        <v>4</v>
      </c>
      <c r="J4" s="3" t="s">
        <v>158</v>
      </c>
      <c r="K4" s="4">
        <v>46246</v>
      </c>
      <c r="L4" s="3" t="s">
        <v>99</v>
      </c>
      <c r="M4" s="3" t="s">
        <v>99</v>
      </c>
      <c r="N4" s="3" t="s">
        <v>194</v>
      </c>
      <c r="O4" s="3" t="s">
        <v>158</v>
      </c>
      <c r="P4" s="3" t="s">
        <v>158</v>
      </c>
      <c r="Q4" s="3" t="s">
        <v>158</v>
      </c>
      <c r="R4" s="3" t="s">
        <v>9</v>
      </c>
      <c r="S4" s="19">
        <v>-40.25</v>
      </c>
      <c r="T4" s="3" t="s">
        <v>100</v>
      </c>
      <c r="U4" s="3" t="s">
        <v>158</v>
      </c>
      <c r="V4" s="3" t="s">
        <v>158</v>
      </c>
      <c r="W4" s="3" t="s">
        <v>195</v>
      </c>
    </row>
    <row r="5" spans="1:23" s="3" customFormat="1" x14ac:dyDescent="0.25">
      <c r="A5" s="3" t="s">
        <v>98</v>
      </c>
      <c r="B5" s="3" t="s">
        <v>160</v>
      </c>
      <c r="C5" s="3" t="s">
        <v>94</v>
      </c>
      <c r="D5" s="3" t="s">
        <v>92</v>
      </c>
      <c r="E5" s="3" t="s">
        <v>93</v>
      </c>
      <c r="F5" s="3" t="s">
        <v>123</v>
      </c>
      <c r="G5" s="3" t="s">
        <v>196</v>
      </c>
      <c r="H5" s="3" t="s">
        <v>16</v>
      </c>
      <c r="I5" s="3">
        <v>4</v>
      </c>
      <c r="J5" s="3" t="s">
        <v>158</v>
      </c>
      <c r="K5" s="4">
        <v>46246</v>
      </c>
      <c r="L5" s="3" t="s">
        <v>99</v>
      </c>
      <c r="M5" s="3" t="s">
        <v>99</v>
      </c>
      <c r="N5" s="3" t="s">
        <v>197</v>
      </c>
      <c r="O5" s="3" t="s">
        <v>158</v>
      </c>
      <c r="P5" s="3" t="s">
        <v>158</v>
      </c>
      <c r="Q5" s="3" t="s">
        <v>158</v>
      </c>
      <c r="R5" s="3" t="s">
        <v>9</v>
      </c>
      <c r="S5" s="19">
        <v>-40.25</v>
      </c>
      <c r="T5" s="3" t="s">
        <v>101</v>
      </c>
      <c r="U5" s="3" t="s">
        <v>158</v>
      </c>
      <c r="V5" s="3" t="s">
        <v>158</v>
      </c>
      <c r="W5" s="3" t="s">
        <v>195</v>
      </c>
    </row>
    <row r="6" spans="1:23" s="3" customFormat="1" x14ac:dyDescent="0.25">
      <c r="A6" s="3" t="s">
        <v>122</v>
      </c>
      <c r="B6" s="3" t="s">
        <v>133</v>
      </c>
      <c r="C6" s="3" t="s">
        <v>134</v>
      </c>
      <c r="D6" s="3" t="s">
        <v>198</v>
      </c>
      <c r="E6" s="3" t="s">
        <v>127</v>
      </c>
      <c r="F6" s="3" t="s">
        <v>123</v>
      </c>
      <c r="G6" s="3" t="s">
        <v>156</v>
      </c>
      <c r="H6" s="3" t="s">
        <v>16</v>
      </c>
      <c r="I6" s="3">
        <v>3</v>
      </c>
      <c r="J6" s="3" t="s">
        <v>158</v>
      </c>
      <c r="K6" s="4">
        <v>46246</v>
      </c>
      <c r="L6" s="3" t="s">
        <v>125</v>
      </c>
      <c r="M6" s="3" t="s">
        <v>125</v>
      </c>
      <c r="N6" s="3" t="s">
        <v>126</v>
      </c>
      <c r="O6" s="3" t="s">
        <v>158</v>
      </c>
      <c r="P6" s="3" t="s">
        <v>158</v>
      </c>
      <c r="Q6" s="3" t="s">
        <v>158</v>
      </c>
      <c r="R6" s="3" t="s">
        <v>9</v>
      </c>
      <c r="S6" s="19">
        <v>12.34</v>
      </c>
      <c r="T6" s="3" t="s">
        <v>128</v>
      </c>
      <c r="U6" s="3" t="s">
        <v>158</v>
      </c>
      <c r="V6" s="3" t="s">
        <v>158</v>
      </c>
      <c r="W6" s="3" t="s">
        <v>199</v>
      </c>
    </row>
  </sheetData>
  <autoFilter ref="A1:W6"/>
  <hyperlinks>
    <hyperlink ref="T2" r:id="rId1" location="#'Parsed Supplier Source'!A3"/>
    <hyperlink ref="T3" r:id="rId2" location="#'Parsed Ledger Source'!A3"/>
    <hyperlink ref="T4" r:id="rId3" location="#'Parsed Supplier Source'!A5"/>
    <hyperlink ref="T5" r:id="rId4" location="#'Parsed Ledger Source'!A5"/>
    <hyperlink ref="T6" r:id="rId5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200</v>
      </c>
      <c r="B1" s="23" t="s">
        <v>201</v>
      </c>
      <c r="C1" s="23" t="s">
        <v>202</v>
      </c>
      <c r="D1" s="23" t="s">
        <v>111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203</v>
      </c>
      <c r="B1" s="23" t="s">
        <v>204</v>
      </c>
      <c r="C1" s="23" t="s">
        <v>205</v>
      </c>
      <c r="D1" s="23" t="s">
        <v>206</v>
      </c>
      <c r="E1" s="23" t="s">
        <v>207</v>
      </c>
      <c r="F1" s="23" t="s">
        <v>208</v>
      </c>
      <c r="G1" s="23" t="s">
        <v>209</v>
      </c>
      <c r="H1" s="24" t="s">
        <v>210</v>
      </c>
      <c r="I1" s="23" t="s">
        <v>211</v>
      </c>
      <c r="J1" s="23" t="s">
        <v>212</v>
      </c>
    </row>
    <row r="2" spans="1:10" s="3" customFormat="1" x14ac:dyDescent="0.25">
      <c r="A2" s="3" t="s">
        <v>188</v>
      </c>
      <c r="B2" s="3" t="s">
        <v>16</v>
      </c>
      <c r="C2" s="3">
        <v>2</v>
      </c>
      <c r="D2" s="4">
        <v>46246</v>
      </c>
      <c r="E2" s="3" t="s">
        <v>90</v>
      </c>
      <c r="F2" s="3" t="s">
        <v>213</v>
      </c>
      <c r="G2" s="3" t="s">
        <v>124</v>
      </c>
      <c r="H2" s="19">
        <v>125.75</v>
      </c>
      <c r="I2" s="3" t="s">
        <v>214</v>
      </c>
      <c r="J2" s="3" t="s">
        <v>158</v>
      </c>
    </row>
    <row r="3" spans="1:10" s="3" customFormat="1" x14ac:dyDescent="0.25">
      <c r="A3" s="3" t="s">
        <v>193</v>
      </c>
      <c r="B3" s="3" t="s">
        <v>16</v>
      </c>
      <c r="C3" s="3">
        <v>4</v>
      </c>
      <c r="D3" s="4">
        <v>46246</v>
      </c>
      <c r="E3" s="3" t="s">
        <v>99</v>
      </c>
      <c r="F3" s="3" t="s">
        <v>215</v>
      </c>
      <c r="G3" s="3" t="s">
        <v>216</v>
      </c>
      <c r="H3" s="19">
        <v>-40.25</v>
      </c>
      <c r="I3" s="3" t="s">
        <v>217</v>
      </c>
      <c r="J3" s="3" t="s">
        <v>158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203</v>
      </c>
      <c r="B1" s="23" t="s">
        <v>204</v>
      </c>
      <c r="C1" s="23" t="s">
        <v>205</v>
      </c>
      <c r="D1" s="23" t="s">
        <v>206</v>
      </c>
      <c r="E1" s="23" t="s">
        <v>207</v>
      </c>
      <c r="F1" s="23" t="s">
        <v>208</v>
      </c>
      <c r="G1" s="23" t="s">
        <v>209</v>
      </c>
      <c r="H1" s="24" t="s">
        <v>210</v>
      </c>
      <c r="I1" s="23" t="s">
        <v>211</v>
      </c>
      <c r="J1" s="23" t="s">
        <v>212</v>
      </c>
    </row>
    <row r="2" spans="1:10" s="3" customFormat="1" x14ac:dyDescent="0.25">
      <c r="A2" s="3" t="s">
        <v>191</v>
      </c>
      <c r="B2" s="3" t="s">
        <v>16</v>
      </c>
      <c r="C2" s="3">
        <v>2</v>
      </c>
      <c r="D2" s="4">
        <v>46246</v>
      </c>
      <c r="E2" s="3" t="s">
        <v>90</v>
      </c>
      <c r="F2" s="3" t="s">
        <v>213</v>
      </c>
      <c r="G2" s="3" t="s">
        <v>124</v>
      </c>
      <c r="H2" s="19">
        <v>125.75</v>
      </c>
      <c r="I2" s="3" t="s">
        <v>214</v>
      </c>
      <c r="J2" s="3" t="s">
        <v>158</v>
      </c>
    </row>
    <row r="3" spans="1:10" s="3" customFormat="1" x14ac:dyDescent="0.25">
      <c r="A3" s="3" t="s">
        <v>156</v>
      </c>
      <c r="B3" s="3" t="s">
        <v>16</v>
      </c>
      <c r="C3" s="3">
        <v>3</v>
      </c>
      <c r="D3" s="4">
        <v>46246</v>
      </c>
      <c r="E3" s="3" t="s">
        <v>125</v>
      </c>
      <c r="F3" s="3" t="s">
        <v>218</v>
      </c>
      <c r="G3" s="3" t="s">
        <v>124</v>
      </c>
      <c r="H3" s="19">
        <v>12.34</v>
      </c>
      <c r="I3" s="3" t="s">
        <v>219</v>
      </c>
      <c r="J3" s="3" t="s">
        <v>158</v>
      </c>
    </row>
    <row r="4" spans="1:10" s="3" customFormat="1" x14ac:dyDescent="0.25">
      <c r="A4" s="3" t="s">
        <v>196</v>
      </c>
      <c r="B4" s="3" t="s">
        <v>16</v>
      </c>
      <c r="C4" s="3">
        <v>4</v>
      </c>
      <c r="D4" s="4">
        <v>46246</v>
      </c>
      <c r="E4" s="3" t="s">
        <v>99</v>
      </c>
      <c r="F4" s="3" t="s">
        <v>215</v>
      </c>
      <c r="G4" s="3" t="s">
        <v>216</v>
      </c>
      <c r="H4" s="19">
        <v>-40.25</v>
      </c>
      <c r="I4" s="3" t="s">
        <v>217</v>
      </c>
      <c r="J4" s="3" t="s">
        <v>158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220</v>
      </c>
      <c r="B1" s="23" t="s">
        <v>205</v>
      </c>
      <c r="C1" s="23" t="s">
        <v>221</v>
      </c>
      <c r="D1" s="23" t="s">
        <v>222</v>
      </c>
    </row>
    <row r="2" spans="1:4" s="3" customFormat="1" x14ac:dyDescent="0.25">
      <c r="A2" s="3" t="s">
        <v>223</v>
      </c>
      <c r="B2" s="3">
        <v>1</v>
      </c>
      <c r="C2" s="3" t="s">
        <v>224</v>
      </c>
      <c r="D2" s="3" t="s">
        <v>225</v>
      </c>
    </row>
    <row r="3" spans="1:4" s="3" customFormat="1" x14ac:dyDescent="0.25">
      <c r="A3" s="3" t="s">
        <v>226</v>
      </c>
      <c r="B3" s="3">
        <v>1</v>
      </c>
      <c r="C3" s="3" t="s">
        <v>224</v>
      </c>
      <c r="D3" s="3" t="s">
        <v>225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227</v>
      </c>
      <c r="B1" s="23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3" t="s">
        <v>236</v>
      </c>
    </row>
    <row r="6" spans="1:2" s="3" customFormat="1" x14ac:dyDescent="0.25">
      <c r="A6" s="3" t="s">
        <v>237</v>
      </c>
      <c r="B6" s="3" t="s">
        <v>236</v>
      </c>
    </row>
    <row r="7" spans="1:2" s="3" customFormat="1" x14ac:dyDescent="0.25">
      <c r="A7" s="3" t="s">
        <v>238</v>
      </c>
      <c r="B7" s="3" t="s">
        <v>239</v>
      </c>
    </row>
    <row r="8" spans="1:2" s="3" customFormat="1" x14ac:dyDescent="0.25">
      <c r="A8" s="3" t="s">
        <v>240</v>
      </c>
      <c r="B8" s="3" t="s">
        <v>239</v>
      </c>
    </row>
    <row r="9" spans="1:2" s="3" customFormat="1" x14ac:dyDescent="0.25">
      <c r="A9" s="3" t="s">
        <v>241</v>
      </c>
      <c r="B9" s="3" t="s">
        <v>242</v>
      </c>
    </row>
    <row r="10" spans="1:2" s="3" customFormat="1" x14ac:dyDescent="0.25">
      <c r="A10" s="3" t="s">
        <v>243</v>
      </c>
      <c r="B10" s="3" t="s">
        <v>242</v>
      </c>
    </row>
    <row r="11" spans="1:2" s="3" customFormat="1" x14ac:dyDescent="0.25">
      <c r="A11" s="3" t="s">
        <v>244</v>
      </c>
      <c r="B11" s="3" t="s">
        <v>245</v>
      </c>
    </row>
    <row r="12" spans="1:2" s="3" customFormat="1" x14ac:dyDescent="0.25">
      <c r="A12" s="3" t="s">
        <v>246</v>
      </c>
      <c r="B12" s="3" t="s">
        <v>174</v>
      </c>
    </row>
    <row r="13" spans="1:2" s="3" customFormat="1" x14ac:dyDescent="0.25">
      <c r="A13" s="3" t="s">
        <v>247</v>
      </c>
      <c r="B13" s="3" t="s">
        <v>248</v>
      </c>
    </row>
    <row r="14" spans="1:2" s="3" customFormat="1" x14ac:dyDescent="0.25">
      <c r="A14" s="3" t="s">
        <v>249</v>
      </c>
      <c r="B14" s="3" t="s">
        <v>158</v>
      </c>
    </row>
    <row r="15" spans="1:2" s="3" customFormat="1" x14ac:dyDescent="0.25">
      <c r="A15" s="3" t="s">
        <v>250</v>
      </c>
      <c r="B15" s="3" t="s">
        <v>158</v>
      </c>
    </row>
    <row r="16" spans="1:2" s="3" customFormat="1" x14ac:dyDescent="0.25">
      <c r="A16" s="3" t="s">
        <v>251</v>
      </c>
      <c r="B16" s="3" t="s">
        <v>252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6" customWidth="1"/>
    <col min="12" max="12" width="20" customWidth="1"/>
  </cols>
  <sheetData>
    <row r="1" ht="28" customHeight="1" spans="1:12" s="23" customFormat="1" x14ac:dyDescent="0.25">
      <c r="A1" s="23" t="s">
        <v>205</v>
      </c>
      <c r="B1" s="23" t="s">
        <v>253</v>
      </c>
      <c r="C1" s="23" t="s">
        <v>254</v>
      </c>
      <c r="D1" s="23" t="s">
        <v>255</v>
      </c>
      <c r="E1" s="23" t="s">
        <v>256</v>
      </c>
      <c r="F1" s="23" t="s">
        <v>257</v>
      </c>
      <c r="G1" s="23" t="s">
        <v>258</v>
      </c>
      <c r="H1" s="23" t="s">
        <v>259</v>
      </c>
      <c r="I1" s="23" t="s">
        <v>260</v>
      </c>
      <c r="J1" s="23" t="s">
        <v>261</v>
      </c>
      <c r="K1" s="23" t="s">
        <v>262</v>
      </c>
      <c r="L1" s="23" t="s">
        <v>263</v>
      </c>
    </row>
    <row r="2" spans="1:12" s="3" customFormat="1" x14ac:dyDescent="0.25">
      <c r="A2" s="3">
        <v>1</v>
      </c>
      <c r="B2" s="3" t="s">
        <v>113</v>
      </c>
      <c r="C2" s="3" t="s">
        <v>264</v>
      </c>
      <c r="D2" s="3" t="s">
        <v>115</v>
      </c>
      <c r="E2" s="3" t="s">
        <v>118</v>
      </c>
      <c r="F2" s="3" t="s">
        <v>114</v>
      </c>
      <c r="G2" s="3" t="s">
        <v>183</v>
      </c>
      <c r="H2" s="3" t="s">
        <v>265</v>
      </c>
      <c r="I2" s="3" t="s">
        <v>266</v>
      </c>
      <c r="J2" s="3" t="s">
        <v>8</v>
      </c>
      <c r="K2" s="3" t="s">
        <v>117</v>
      </c>
      <c r="L2" s="3" t="s">
        <v>267</v>
      </c>
    </row>
    <row r="3" spans="1:12" s="3" customFormat="1" x14ac:dyDescent="0.25">
      <c r="A3" s="3">
        <v>2</v>
      </c>
      <c r="B3" s="3" t="s">
        <v>268</v>
      </c>
      <c r="C3" s="3" t="s">
        <v>90</v>
      </c>
      <c r="D3" s="3" t="s">
        <v>269</v>
      </c>
      <c r="E3" s="3" t="s">
        <v>214</v>
      </c>
      <c r="F3" s="3" t="s">
        <v>124</v>
      </c>
      <c r="G3" s="3" t="s">
        <v>158</v>
      </c>
      <c r="H3" s="3" t="s">
        <v>158</v>
      </c>
      <c r="I3" s="3" t="s">
        <v>189</v>
      </c>
      <c r="J3" s="3" t="s">
        <v>9</v>
      </c>
      <c r="K3" s="3" t="s">
        <v>124</v>
      </c>
      <c r="L3" s="3" t="s">
        <v>270</v>
      </c>
    </row>
    <row r="4" spans="1:12" s="3" customFormat="1" x14ac:dyDescent="0.25">
      <c r="A4" s="3">
        <v>3</v>
      </c>
      <c r="B4" s="3" t="s">
        <v>268</v>
      </c>
      <c r="C4" s="3" t="s">
        <v>125</v>
      </c>
      <c r="D4" s="3" t="s">
        <v>271</v>
      </c>
      <c r="E4" s="3" t="s">
        <v>272</v>
      </c>
      <c r="F4" s="3" t="s">
        <v>124</v>
      </c>
      <c r="G4" s="3" t="s">
        <v>158</v>
      </c>
      <c r="H4" s="3" t="s">
        <v>158</v>
      </c>
      <c r="I4" s="3" t="s">
        <v>273</v>
      </c>
      <c r="J4" s="3" t="s">
        <v>9</v>
      </c>
      <c r="K4" s="3" t="s">
        <v>124</v>
      </c>
      <c r="L4" s="3" t="s">
        <v>274</v>
      </c>
    </row>
    <row r="5" spans="1:12" s="3" customFormat="1" x14ac:dyDescent="0.25">
      <c r="A5" s="3">
        <v>4</v>
      </c>
      <c r="B5" s="3" t="s">
        <v>268</v>
      </c>
      <c r="C5" s="3" t="s">
        <v>99</v>
      </c>
      <c r="D5" s="3" t="s">
        <v>275</v>
      </c>
      <c r="E5" s="3" t="s">
        <v>217</v>
      </c>
      <c r="F5" s="3" t="s">
        <v>216</v>
      </c>
      <c r="G5" s="3" t="s">
        <v>158</v>
      </c>
      <c r="H5" s="3" t="s">
        <v>158</v>
      </c>
      <c r="I5" s="3" t="s">
        <v>194</v>
      </c>
      <c r="J5" s="3" t="s">
        <v>9</v>
      </c>
      <c r="K5" s="3" t="s">
        <v>216</v>
      </c>
      <c r="L5" s="3" t="s">
        <v>276</v>
      </c>
    </row>
  </sheetData>
  <autoFilter ref="A1:L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6" customWidth="1"/>
    <col min="12" max="12" width="20" customWidth="1"/>
  </cols>
  <sheetData>
    <row r="1" ht="28" customHeight="1" spans="1:12" s="23" customFormat="1" x14ac:dyDescent="0.25">
      <c r="A1" s="23" t="s">
        <v>205</v>
      </c>
      <c r="B1" s="23" t="s">
        <v>253</v>
      </c>
      <c r="C1" s="23" t="s">
        <v>254</v>
      </c>
      <c r="D1" s="23" t="s">
        <v>255</v>
      </c>
      <c r="E1" s="23" t="s">
        <v>256</v>
      </c>
      <c r="F1" s="23" t="s">
        <v>257</v>
      </c>
      <c r="G1" s="23" t="s">
        <v>258</v>
      </c>
      <c r="H1" s="23" t="s">
        <v>259</v>
      </c>
      <c r="I1" s="23" t="s">
        <v>260</v>
      </c>
      <c r="J1" s="23" t="s">
        <v>261</v>
      </c>
      <c r="K1" s="23" t="s">
        <v>262</v>
      </c>
      <c r="L1" s="23" t="s">
        <v>263</v>
      </c>
    </row>
    <row r="2" spans="1:12" s="3" customFormat="1" x14ac:dyDescent="0.25">
      <c r="A2" s="3">
        <v>1</v>
      </c>
      <c r="B2" s="3" t="s">
        <v>113</v>
      </c>
      <c r="C2" s="3" t="s">
        <v>264</v>
      </c>
      <c r="D2" s="3" t="s">
        <v>115</v>
      </c>
      <c r="E2" s="3" t="s">
        <v>118</v>
      </c>
      <c r="F2" s="3" t="s">
        <v>114</v>
      </c>
      <c r="G2" s="3" t="s">
        <v>183</v>
      </c>
      <c r="H2" s="3" t="s">
        <v>265</v>
      </c>
      <c r="I2" s="3" t="s">
        <v>266</v>
      </c>
      <c r="J2" s="3" t="s">
        <v>8</v>
      </c>
      <c r="K2" s="3" t="s">
        <v>117</v>
      </c>
      <c r="L2" s="3" t="s">
        <v>267</v>
      </c>
    </row>
    <row r="3" spans="1:12" s="3" customFormat="1" x14ac:dyDescent="0.25">
      <c r="A3" s="3">
        <v>2</v>
      </c>
      <c r="B3" s="3" t="s">
        <v>268</v>
      </c>
      <c r="C3" s="3" t="s">
        <v>90</v>
      </c>
      <c r="D3" s="3" t="s">
        <v>269</v>
      </c>
      <c r="E3" s="3" t="s">
        <v>214</v>
      </c>
      <c r="F3" s="3" t="s">
        <v>124</v>
      </c>
      <c r="G3" s="3" t="s">
        <v>158</v>
      </c>
      <c r="H3" s="3" t="s">
        <v>158</v>
      </c>
      <c r="I3" s="3" t="s">
        <v>192</v>
      </c>
      <c r="J3" s="3" t="s">
        <v>9</v>
      </c>
      <c r="K3" s="3" t="s">
        <v>124</v>
      </c>
      <c r="L3" s="3" t="s">
        <v>277</v>
      </c>
    </row>
    <row r="4" spans="1:12" s="3" customFormat="1" x14ac:dyDescent="0.25">
      <c r="A4" s="3">
        <v>3</v>
      </c>
      <c r="B4" s="3" t="s">
        <v>268</v>
      </c>
      <c r="C4" s="3" t="s">
        <v>125</v>
      </c>
      <c r="D4" s="3" t="s">
        <v>271</v>
      </c>
      <c r="E4" s="3" t="s">
        <v>219</v>
      </c>
      <c r="F4" s="3" t="s">
        <v>124</v>
      </c>
      <c r="G4" s="3" t="s">
        <v>158</v>
      </c>
      <c r="H4" s="3" t="s">
        <v>158</v>
      </c>
      <c r="I4" s="3" t="s">
        <v>126</v>
      </c>
      <c r="J4" s="3" t="s">
        <v>9</v>
      </c>
      <c r="K4" s="3" t="s">
        <v>124</v>
      </c>
      <c r="L4" s="3" t="s">
        <v>278</v>
      </c>
    </row>
    <row r="5" spans="1:12" s="3" customFormat="1" x14ac:dyDescent="0.25">
      <c r="A5" s="3">
        <v>4</v>
      </c>
      <c r="B5" s="3" t="s">
        <v>268</v>
      </c>
      <c r="C5" s="3" t="s">
        <v>99</v>
      </c>
      <c r="D5" s="3" t="s">
        <v>275</v>
      </c>
      <c r="E5" s="3" t="s">
        <v>217</v>
      </c>
      <c r="F5" s="3" t="s">
        <v>216</v>
      </c>
      <c r="G5" s="3" t="s">
        <v>158</v>
      </c>
      <c r="H5" s="3" t="s">
        <v>158</v>
      </c>
      <c r="I5" s="3" t="s">
        <v>197</v>
      </c>
      <c r="J5" s="3" t="s">
        <v>9</v>
      </c>
      <c r="K5" s="3" t="s">
        <v>216</v>
      </c>
      <c r="L5" s="3" t="s">
        <v>279</v>
      </c>
    </row>
  </sheetData>
  <autoFilter ref="A1:L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220</v>
      </c>
      <c r="B1" s="23" t="s">
        <v>280</v>
      </c>
      <c r="C1" s="23" t="s">
        <v>281</v>
      </c>
      <c r="D1" s="23" t="s">
        <v>282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283</v>
      </c>
      <c r="B1" s="23" t="s">
        <v>284</v>
      </c>
    </row>
    <row r="2" spans="1:2" s="3" customFormat="1" x14ac:dyDescent="0.25">
      <c r="A2" s="3" t="s">
        <v>285</v>
      </c>
      <c r="B2" s="3" t="s">
        <v>286</v>
      </c>
    </row>
    <row r="3" spans="1:2" s="3" customFormat="1" x14ac:dyDescent="0.25">
      <c r="A3" s="3" t="s">
        <v>287</v>
      </c>
      <c r="B3" s="3" t="s">
        <v>288</v>
      </c>
    </row>
    <row r="4" spans="1:2" s="3" customFormat="1" x14ac:dyDescent="0.25">
      <c r="A4" s="3" t="s">
        <v>289</v>
      </c>
      <c r="B4" s="3" t="s">
        <v>290</v>
      </c>
    </row>
    <row r="5" spans="1:2" s="3" customFormat="1" x14ac:dyDescent="0.25">
      <c r="A5" s="3" t="s">
        <v>291</v>
      </c>
      <c r="B5" s="4">
        <v>46294.5461040625</v>
      </c>
    </row>
    <row r="6" spans="1:2" s="3" customFormat="1" x14ac:dyDescent="0.25">
      <c r="A6" s="3" t="s">
        <v>292</v>
      </c>
      <c r="B6" s="3" t="s">
        <v>293</v>
      </c>
    </row>
    <row r="7" spans="1:2" s="3" customFormat="1" x14ac:dyDescent="0.25">
      <c r="A7" s="3" t="s">
        <v>294</v>
      </c>
      <c r="B7" s="3" t="s">
        <v>295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2026-09-29T13:06:23Z</dcterms:created>
  <dcterms:modified xsi:type="dcterms:W3CDTF">2026-09-29T13:06:23Z</dcterms:modified>
</cp:coreProperties>
</file>