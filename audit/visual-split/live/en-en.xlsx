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Visual Source Proof" state="hidden" r:id="rId10"/>
    <sheet sheetId="8" name="Visual Source Record" state="hidden" r:id="rId11"/>
    <sheet sheetId="9" name="Visual supplier PNG" state="hidden" r:id="rId12"/>
    <sheet sheetId="10" name="Diagnostics" state="hidden" r:id="rId13"/>
    <sheet sheetId="11" name="Reading Issues" state="visible" r:id="rId14"/>
    <sheet sheetId="12" name="Match Evidence" state="hidden" r:id="rId15"/>
    <sheet sheetId="13" name="Review History" state="hidden" r:id="rId16"/>
    <sheet sheetId="14" name="Supplier transactions" state="hidden" r:id="rId17"/>
    <sheet sheetId="15" name="Ledger transactions" state="hidden" r:id="rId18"/>
    <sheet sheetId="16" name="Excluded Rows" state="hidden" r:id="rId19"/>
    <sheet sheetId="17" name="Run Settings" state="hidden" r:id="rId20"/>
    <sheet sheetId="18" name="Parsed Supplier Source" state="hidden" r:id="rId21"/>
    <sheet sheetId="19" name="Parsed Ledger Source" state="hidden" r:id="rId22"/>
    <sheet sheetId="20" name="PDF Row Origins" state="hidden" r:id="rId23"/>
    <sheet sheetId="21" name="Export Metadata" state="hidden" r:id="rId24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<sst xmlns="http://schemas.openxmlformats.org/spreadsheetml/2006/main" count="952" uniqueCount="421">
  <si>
    <t>Field / الحقل</t>
  </si>
  <si>
    <t>Value / القيمة</t>
  </si>
  <si>
    <t>Workbook Mode</t>
  </si>
  <si>
    <t>Partial transaction snapshot for review. Reading issues remain open; totals cover processed transactions only. Not a complete reconciliation.</t>
  </si>
  <si>
    <t>Supplier</t>
  </si>
  <si>
    <t>Synthetic Split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</si>
  <si>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</si>
  <si>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</si>
  <si>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</si>
  <si>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</si>
  <si>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</si>
  <si>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</si>
  <si>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</si>
  <si>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</si>
  <si>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</si>
  <si>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</si>
  <si>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</si>
  <si>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</si>
  <si>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</si>
  <si>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</si>
  <si>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</si>
  <si>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</si>
  <si>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</si>
  <si>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</si>
  <si>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</si>
  <si>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</si>
  <si>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</si>
  <si>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</si>
  <si>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</si>
  <si>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</si>
  <si>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</si>
  <si>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</si>
  <si>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</si>
  <si>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</si>
  <si>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</si>
  <si>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</si>
  <si>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</si>
  <si>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</si>
  <si>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</si>
  <si>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</si>
  <si>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</si>
  <si>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</si>
  <si>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</si>
  <si>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</si>
  <si>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</si>
  <si>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</si>
  <si>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</si>
  <si>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</si>
  <si>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</si>
  <si>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</si>
  <si>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</si>
  <si>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</si>
  <si>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</si>
  <si>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</si>
  <si>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</si>
  <si>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</si>
  <si>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Reading Status</t>
  </si>
  <si>
    <t>Partial — reading issues remain open</t>
  </si>
  <si>
    <t>Processed Transactions</t>
  </si>
  <si>
    <t>Rows Needing Reading Review</t>
  </si>
  <si>
    <t>Balance Reading Issues</t>
  </si>
  <si>
    <t>Source-wide Reading Issues</t>
  </si>
  <si>
    <t>Supplier Processed Transaction Total</t>
  </si>
  <si>
    <t>Ledger Processed Transaction Total</t>
  </si>
  <si>
    <t>Totals Basis</t>
  </si>
  <si>
    <t>Processed transactions only. Unread values are unknown, not zero. Original balances are not proof of completeness.</t>
  </si>
  <si>
    <t>Reading Issues</t>
  </si>
  <si>
    <t>Open all reading issues and original values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</si>
  <si>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</si>
  <si>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</si>
  <si>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</si>
  <si>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</si>
  <si>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</si>
  <si>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</si>
  <si>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</si>
  <si>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</si>
  <si>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</si>
  <si>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</si>
  <si>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</si>
  <si>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</si>
  <si>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</si>
  <si>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</si>
  <si>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</si>
  <si>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</si>
  <si>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</si>
  <si>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</si>
  <si>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</si>
  <si>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CASE-A051C9C4</t>
  </si>
  <si>
    <t>1:1</t>
  </si>
  <si>
    <t>INV-100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</si>
  <si>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</si>
  <si>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</si>
  <si>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</si>
  <si>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</si>
  <si>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</si>
  <si>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Reviewed image · row 2</t>
  </si>
  <si>
    <t>ledger · CSV · row 2</t>
  </si>
  <si>
    <t>CASE-95C83684</t>
  </si>
  <si>
    <t>PAY-200</t>
  </si>
  <si>
    <t>supplier · Reviewed image · row 3</t>
  </si>
  <si>
    <t>ledger · CSV · row 3</t>
  </si>
  <si>
    <t>CASE-072C5B94</t>
  </si>
  <si>
    <t>CN-300</t>
  </si>
  <si>
    <t>supplier · Reviewed image · row 4</t>
  </si>
  <si>
    <t>ledger · CSV · row 4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</si>
  <si>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</si>
  <si>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</si>
  <si>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</si>
  <si>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</si>
  <si>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</si>
  <si>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</si>
  <si>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</si>
  <si>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</si>
  <si>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</si>
  <si>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</si>
  <si>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</si>
  <si>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</si>
  <si>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</si>
  <si>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</si>
  <si>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</si>
  <si>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</si>
  <si>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</si>
  <si>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</si>
  <si>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</si>
  <si>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</si>
  <si>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CASE-9ABC6D2A</t>
  </si>
  <si>
    <t>ledger</t>
  </si>
  <si>
    <t>Unknown</t>
  </si>
  <si>
    <t>BOTH-400</t>
  </si>
  <si>
    <t>مستند الدفتر BOTH-400 بمبلغ 80.00 SAR: لا يوجد مقابل مورد يستوفي قواعد المطابقة أو حالة مراجعة مثبتة.</t>
  </si>
  <si>
    <t>ledger · CSV · row 5</t>
  </si>
  <si>
    <t>CASE-5595A965</t>
  </si>
  <si>
    <t>NEG-500</t>
  </si>
  <si>
    <t>مستند الدفتر NEG-500 بمبلغ -90.00 SAR: لا يوجد مقابل مورد يستوفي قواعد المطابقة أو حالة مراجعة مثبتة.</t>
  </si>
  <si>
    <t>ledger · CSV · row 6</t>
  </si>
  <si>
    <t>CASE-F3442C2F</t>
  </si>
  <si>
    <t>MISS-600</t>
  </si>
  <si>
    <t>مستند الدفتر MISS-600 بمبلغ -50.00 SAR: لا يوجد مقابل مورد يستوفي قواعد المطابقة أو حالة مراجعة مثبتة.</t>
  </si>
  <si>
    <t>ledger · CSV · row 7</t>
  </si>
  <si>
    <t>Adjustment From Supplier to Ledger</t>
  </si>
  <si>
    <t>Explanation</t>
  </si>
  <si>
    <t>Review Status</t>
  </si>
  <si>
    <t>Supporting Source</t>
  </si>
  <si>
    <t>LEDGER_ONLY</t>
  </si>
  <si>
    <t>Unmatched</t>
  </si>
  <si>
    <t>1 source rows · CASE-9ABC6D2A</t>
  </si>
  <si>
    <t>1 source rows · CASE-5595A965</t>
  </si>
  <si>
    <t>1 source rows · CASE-F3442C2F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</si>
  <si>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</si>
  <si>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</si>
  <si>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</si>
  <si>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</si>
  <si>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</si>
  <si>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</si>
  <si>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</si>
  <si>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</si>
  <si>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</si>
  <si>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</si>
  <si>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</si>
  <si>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</si>
  <si>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</si>
  <si>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Record SHA-256</t>
  </si>
  <si>
    <t>PNG SHA-256</t>
  </si>
  <si>
    <t>Pixel SHA-256</t>
  </si>
  <si>
    <t>Basis</t>
  </si>
  <si>
    <t>Context</t>
  </si>
  <si>
    <t>Interpretation receipt</t>
  </si>
  <si>
    <t>Table coverage</t>
  </si>
  <si>
    <t>supplier</t>
  </si>
  <si>
    <t>a92aa8737f2fb768afdc69da6a4ca60df5b0def149e73ecb7ce8f3f747975780</t>
  </si>
  <si>
    <t>b82fd9c80db47f8b8b5ca0bafbf79ef373e2133cdde245bdff1503b68c4066d0</t>
  </si>
  <si>
    <t>f35fb271bff21ee98b7d73a32b4f72dc9bbacb9fd43abe51dd3c551a6ee2414f</t>
  </si>
  <si>
    <t>human-reviewed-transactions</t>
  </si>
  <si>
    <t>{"side":"supplier","supplier":"Synthetic Split Supplier","entity":"Synthetic Entity","account":"","currency":"SAR","decimals":2,"periodStart":"2026-07-01","cutoff":"2026-07-31","multiplier":1,"numberFormat":"dot","dateFormat":"ymd"}</t>
  </si>
  <si>
    <t>{"fingerprint":"191b14e3f70c0dc09074100f36b039e19edf07ed9a733960cad7b8cf9e897459","checkedAt":"2026-10-05T21:17:00.068Z"}</t>
  </si>
  <si>
    <t>{"fingerprint":"228424f38062594bd96fa3af931470b61f5e4bfc9cd4ec74ab32819d748840e9","checkedAt":"2026-10-04T10:00:00.000Z"}</t>
  </si>
  <si>
    <t>Part</t>
  </si>
  <si>
    <t>Original JSON text</t>
  </si>
  <si>
    <t>{"kind":"reviewed-visual-source","version":2,"basis":"human-reviewed-transactions","table":{"kind":"visual-table","version":2,"status":"table-evidence-only","image":{"kind":"visual-review","version":2,"status":"cell-evidence-only","source":{"name":"en-split.png","sha256":"b82fd9c80db47f8b8b5ca0bafbf79ef373e2133cdde245bdff1503b68c4066d0","originalPng":"data:image/png;base64,iVBORw0KGgoAAAANSUhEUgAABXgAAANcCAIAAABqhFB6AAAQAElEQVR4nOzdBXgURxvA8cXd3R2Ka6FAoRR3KVakSHEr7u5StLi7u7tLcXd3dwkQge/NTdgud5djk2w/aPL/PXnyzO3N3l0uM7M778zOhvz48aMGAAAAAABgheAaAAAAAACAR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E4QCDR4eHlev3bj/4NGHDx80fNvkf3Tr9t2Ll64+f/5Cw9fw+o3bpcvX+P4BAAAA+FVILVB79frNgsUrjp84c+LkmTPnLurbUyRPmiNbplYtGnyXOqX2DXB7+/bqtZsZ0qXRt0hYpFjZ6l5ePjGRjm2blSxWUPuXOX4MLy+vIqV/1T9G+1aNS5csov1r1q7fsnP3/pOnzx44dEzfGDNGdPlnVa1crlzpYsGCBdP+g9p17nPoyAmVLvzzj907t1bp02fON2vdVc82e+pfiRMl0L6em7fuLFyy6sy5C1Jlbty8rTZGjBA+SeKERQr91Lxx3RgxornY/d79hxIhShA/rmaR02cvpEyeNGzYMFrQZvkXCwAAAPyrAvOMhr1/H8r2Q9EOXfrNW7jcGGUQV65elw5V7p/KNGvVRXrX2le1Zt3m7/OWmDB5lnGj9O2PHT998tRZ9fP48RPtX+b0Y3z8+NH4MR4++rc+xtu371q261Hz9xaTp881RhnE4ydPN2zeUbdh66Klq129dkP7D7pw8Yr+HUooR9/+4uUrfbv8vH7jpn098s1nzll4wJC/Vq7eqEcZNNvUBqk+I8dMTpkhz+hx05zu++7d+1Fjp6TL+tPuvQc0Kzx4+KhFm275CpW//+ChFoRZ/sUCAAAA/weBdkaDjIWW/qXWF7NJDCJ48OCjh/fTvgbpv3XuPuCrdyG++sd4+ep1mYq1paftOtvhoyeq12m2bcPi8OHCabCUVAQJyX0xW4++f8aOHbNqpbLGjes3bZfyY4xNBIS7u8eU6XO79hqsBXnWfrEAAADA/02gndHQu/8wuy22GfiZUyRPard9zvylK1Zv0L6GRs3afwsDlV/9Y8yYvdAuyhAxQvhMGdOlT5vaLueFi1d69PlTg6Vev3Hr2NU+ypAkcUKpL/HjxbHb3rhFx2vX/5mU8fz5i+q1m1rYGd62cy9RBu1f+GIBAACA/5vAOaPh3v2HW7bt1h9Kl2nqhGHZs2ZSD2/eutOyXY8du/bpGSTQUL5McQ0OQoYMuWD2+A8fPqqHxuUbLDRr7hLjwxmTRpYqUUjeWrNNdhg8bOy4iTP0ZxcuXjmkf7fgwQNDjEwiKfNmjtMfJk2SUPsatmzbZbxqo3iRAkMGdE+UML56eOjI8eq1mz1+8lTPsHXHnvp1qmsAAAAA4EzgDDQYR1xF6xYN9CiDSJwowfSJw5Ol/UHfsnffIe1f4OHhceHS1fDhwiZNksiqjvGHDx8uX7nu9cErVYpkqivu2p279x88fJQ8aeKoUaNo/lKscAEz2d6/d79y7YaHu3u8eHFixohu/u+Vb+nK1ev6w0oVSpUrU0x/GDlSxH49Oxw7furvA0fUFukSX7l6I1XKZNq/4NXrN5cuX/Xr1yV/wrnzl2LEiO7X5frkXUoU/fmL2Tw9Pa9dv/Xe3d2vKyPeun3Xze1tmtQpXGeTEmV82K9XRz3KIL7PnmXK+KHlq/yubzl0+Lg/Ag3yLT16/PThw8cfPn6IEjlSjOjR/F0mdTLsL6Uufry48eLG9tOOL1++unz1esoUyaSA2T3l9vbtxYtX5RtwvfKl8vbtOykwESKElzoeIkQIzS+kJF+8dEXKTJzYsTQAAAAgEAmcgYYw</t>
  </si>
  <si>
    <t>YUIbH+7ac+C36pWMXV/p4TT8vcb+Q8cihA8XKWLE8OHDSQ8zUsQIxctWl06syhM/ftwdG5fY3eZgzbrNrTv00h/OmT4m1/dZDxw6VrNuc7XluzQpVy+duXnrrnGTZuqTJiJGCF+4YP7B/bvGjhVTbWnVvufa9VuMo8RzFyzbuHmHJPr0aF+tSnnHP0o6jV17Dd6+Y48++Jwvb64/B3R32o28fuNWt95Ddu7ap2eOHy+O5O/VrV3cOP/0ar74MaSLmzlnYXd3D/XswL5dJBBgfCOJL4wcM3n5qvUXLl4xbpevt0nD2tL70r7E7hvet//wGze3COHDGzPUrllFeoYRI0aIJP+kCOFfv36jP1u2Uh3p5Kt0/brVO7ZtZny1qjUbHz1+SqVrVqvYs2sblV63cVvLtt1VOlfObHOmjZ48fe7S5Wv1dShTJE/aqH5N6U4bP979B4/yFfL514QOHerIvo3yaSdPm7PB9o1ptstzfilXome3tiZXkTh2/HSVmo30hxtXz0ueLIkxw87dfw/8c7RxdUz5d5ctVbRty8Z2hXzR0tVdew5S6eJFf25Qt/rvjduqCI58qorlSw7q19W3jxE2zGfBix27/ra7wujHPDlzZMss4S359qXKxIvrcz1FjrwlHny+WGOTPzp17z1EEmuXz06dKrnaKN+SVAcpaXbvmyljuj+a/l6xvE+JOn/xcplfar97986YR77wsGHDRokS+fDe9fpGKdUDBo9auWbj3XsP1BapYj/kyt6pXXNjSFHs3nvg90Y+//ScObLMnTF26oz5s+Yt0S/Vkc8ggUg1oUkq7JDh4/SQlnzVxYv83K1TS8eInsT7ps6cP3P2IuMqs/IV1atT7dfK5ewyj50wfeSYKSpdt1bVzu1bjJ80c8mKtfLfVxvlH1SrRqWObZtLofLTFwsAAAB8mwJnoCHtd6mMD5etXHfh4uWmjeoUyJ9Hv+Z8cP9ujjv+kDO73qmT7vexE6ezZclozCDdA71b7r2OQIa0mveo5lt9o4QDpMtqt66e9ItWrN6wZ9/BdSvmqKH4R48eG7v3+jtqtkF1xw/mfeF6z0F2dyWQTtQPP5VevnCq/F3G7dLnbNS8g90rSJds4ZJV0tmbNnFEkUL51UYzH0Pvy2m2cWBjTumtNWzewS7EoEyaNld+1q+c+0PObJpL0ovLnSu73ruTt/suU762rRoXLVwgbZqUqp9ftVJZuwUIjX+X/ic8ffrM7tn7Dx/98+yz5/p2CVXo2+/eu9+pW/+JU+cYd5QuuvwT9/59aPTw/hLcUBtlTN74dS1auqplux7GveRZ+at37tk/d/oYx9VAHLkZSo54995dT0twZ8CQv0aNnWK3i3zbf14cv3HLzinjhhqndbx69Vp/qWPHT5Wq8JteWmT7hUtXNd9lyZze+LBd5z5btu36rUblH3N/HzlyJNkiY/Wb1y5w3NE4FUWnPoYeL5i/aEXTlp01Z6T81G/S7uq1m+1aNZZ/9Pt37x1Lo/wV8mPcfvzEmToNW9ktXiB5tmzbLT+9urVt3riuPrngjds/3/CVazfk/zVr7mK7z1C3YWttkvbkyTP5w41PyVctP69evx42qKdxu5SpZq26GC/OUg4fPSE/W7fvlvzqe1NevHylf4Y7d+9LyEBqovb5Nzb8r0nbd+1bt3yOmrFi5osFAAAAvlmBczFIGU+263vLwKP0DdJnK/BjwXJ9BoyQLvrbt07O16tW/qw3u2rNJuND6cysXL3RkLlcuHBh7V5B+j++rd4v/YRhoyZo/iLv69u9D9t17vvx40f9oYQzHKMMOnkRGUKXrpoWYM+fv5DerNMog65y9QZ2l7E4pQc+FPmQvfsPz/tz2dQZf2zTsdfqtZvkvbR/jQws20UZdPK1Dxzyl2872kUZdPKd1K7f0svLSwuAEaMnOUYZdNI9Lli8km9FQkq73VO+hWkUGdWXqJlxy4bNO2rUaZYkTc6yleqMHjdN3k7G8DW/O332gm9RBp3EU6TQauY8ffq8TMVaLpZI7NVv2CRf/pvyf7GLMugk1mAXZdBNm7lg3sLl+kOpa/Uat3WMMuiWLF/boGl7356Vl7KLMuikHC5dsVYDAAAA/vsC7V0nRg/vZ9d3UqQPJl046T7FT561Y9d+ly5fMz6bNk2qrFky6A8XL1tt7F9t277HmLnyL2U0X8SMEb1V8wZTxg+16+BJH0MGsSWRI3vm4kUK2O0iW+Qnme+XGzRpUGv6pBHdOrUybpTBTxlHVWlPT0+7/lLLZvXnzRzXo0tr48aBf45WCf99DGXI8HHG3mya1Cn69+rYuX0L46UckmH8pFnal8gQdK7vszpul9DM9FkLa9VvmSztDzV/b7Frz37t3yTf1dCBPcqUKmrcOH7yLLtCYqdalfIygt2kYW3jRilmi5au1vzr1u27g4aO0R9KSR7cv9vcGWPr1qqqb5TvdvK0Oa5fR68CJYsVdJEtcqSIUyYMc/qUhOR69P3zp6IVM+YoKBXnmWFWiChfprhdRM92uYF3+YkWLao8nDxtrvFZKcBzpo2WAvlLuZLG7SrQILvIjna3GsmdK7ts1C/Yka/FWOrknzVryqgxI/ob744hkQvfQjCabQHOAb07jf9rkNMpJ/IJZ04eZXd9kPGiDwk+GsMi8moTRg+WWpkvby5946atO41XuziSyE6f7u3HjhxgV+znLlimEl/8YgEAAIBvWeC8dEIkTBBvwewJdRq0cpyMrVPT++0uPahTs4p+7fTdew+OHDv5ffYs6uHKNf9MZ0iSOGHOHFl8e2X9OmrpUL148VK/hl/cu/dAejitWzSU9I8Fy+nXeBcrUkD6S5rvJo8bqvd/5K9r3KKj/tTVazfVh1y6Yp1xioF0gVSko0TRn3PmyFr6ZQePXQAAEABJREFUl1pqu3SEDh05Lrv442Mo0hOWHrj+UPpLyxZOVQsTSIQl6w9F9AsuJk+f26dHe9dLGIYKFWrqhOH1Grdx0T2Tzp78SMRE</t>
  </si>
  <si>
    <t>fWZrSYd8y7pFKkRSr061kWMm9+4/XH/2r3FTJW7ldEeJJelLDJQpWaRk+Zr6U/0GjXS61oYZEsQxPtyxaanqFUu8IF7cOAM+TbIYPmri77V+jRIlstMXkUKY54ccV6/dOH/xinEmv1PFCheQWIbjTS518g/tM2DEzDmLVy+dqS8VKR3s589fGNdVlf++cZGC2LFi/Jgn5/ETp6Xn3/D3GgP6+Mxu+CnfD8tWrtOzPXr8RLOt0jp/1nipLNVqNdGfGjdqoL7Sx7XrN6U46U/VrFZR/7+UKFowc85CKr4gv6fOmCdhI8e/QuJoKxZPl9+SlhpaqEQV47NDBnRrULeG5h2/KHLoyAl93oSe+PjxY5eeA/X88k/ZvHahmtYk//1K1Rvqy7L0Hzxq1ZIZmjNSzNavnKMqi/xDv/+xpN5G6SGtL36xAAAAwLcs0M5oEHlzf3/k741t/mio+hW+qVC1nvGCiLKfD2ivXrdZJdzevjV2jaSTY7eKoa5n1zb6am2Sp2KF0sZnnV6y8UUSCjGOshb+OZ/xWX1xxKPHTuobZYy3SsV/5lzItyFdPv3hth17tQA4e/6i8WGXDn/oyx+GDh1qYJ8u5coUk41zp485sm+DvsSdCwnix12/cu6MSSMlguMim/R1u/Ue4r9p/C60bN7AOBGjWaM6xhHyM+cuON1LBrH1KINmG3uvXrWC/lB65i9fvdb8RV+xQrOVNOPYe/PGdfW09KiNixEa1a1VVaIMkkieLInr6Qw6CQQc27/J9UUW0uUuWLzy+YuXNXO6dmwpgYmblw6fO76rb0+f0JiXl9eZsxeMf9SzZ6YujTl1+rzxYfvW/8QjokeP+ochsrDRENoz6t65ld4aqAVWdPJ59FtpSLWV+vLPx/t05c7DR4+NS5bIB9AvngoRIkS7Vo31p3bvPeDh4eH0M4wa2levLFGjRilVorD+lIuoKAAAAPAfEmhnNCiRI0Xs3rm19HgPHz25fuO2Ldt2Oe2Y1WnY6uKpPbFixtBsp/7S19Kvo56/cEWvrm2DBw++Y+c+4y4Vy5f07U2zZs5gfCiDusaHHh6emt/ZTbGOHPmze/K5u/ssInjZsIacu7vHlBnzjNmM896N/SV/uPrp3hxKts+X+i9buqj8aH4kvTsJT8iP/I82b925dfsep5fuj50wXSImdld8BFDRzxeJCBUqVLkyxcdPmqke6jNc7JQuWcRuS6nihYzX89+8dSdDujSaH3l6ehrXAnz48LFxGN/Ordt3nW4vV7qY5ndJkySaMHrw8CG9du7ev27D1g2btjtdK7RR8447Ny01/are/9nw4cLu23/owKFjh4+e2H/giN2lDR+1j2Ze5+r1z0rd+k3bgwf/J9h36sw/YQjfFnFIZ7guI2TIkBEjhNc/iVQxY+gwimEOiH7Xles3PnvZEyfPvHz1z/Kojx9/9l3du/8wcaIEmoOMGb4zPvTrjTkBAACAb18gDzQoMtgovQj56dWt7aPHT3bt2T9h8mx9XQNl+aoNMqKr0tWqlNcDDdKtOnTkhOy7au0/C0PKw2RJE/v2dtGiRjE+DBPG1VUDJtldmC09YeNDfTHIk6fO6Rvlk/u2LKVmu9WCFgBXrn3W5XO6HIa/pU+bWn5aNW/g9vbt/gNH5y9avmT5Z4vkzZm/1Gmg4aNDd/X9+/eaCXEMt/xUEsaPa3z45MmzGDGi2eWJEd3+ann9vo/KzZu3/RFouH3nnvHhpq075ce3zL4FGvSrG/xBxttLFP1ZfjTvq3JubN2xZ8iwccaIw8lTZ0+fOZ8h/XdmXk0+Yfc+Q4yThhwF04JpJly+ct34sFM3X6/xkTjahw8fjHe0VSJH8vUSErsq5rTa2q1sarx6yJH8H50GGuxufWpmvg8AAADw3xIIAw3SwVi2cv29ew/uP3x0//5DGf02LqEXK2aMiuVLVShb4s8R443r7V02LPgnu8SMEV3vWUmIIVOGtMa14mtWq+jiA9h1UUKGDKEFWNgwoc1kM3/rO986qCZ5en52SwWnnTqTJO5z7sJl+U89fPQ4bNgwxlsJSpesYIG88lPj118qVK2nbz9/wfnUfU8v+9ki796ZCjToQ9Y6u+tijCPnOse4ht1ewfz1nbj55eIau6iELmqUKJo5EkPZsHn7/QePHjx4dPf+gxZNfjdOn0meLIn8VKtSoV6jNsZ4x+Wr180EGs6cu1i+cl3HaRFpUqe4c+eePpvAZB154/sSj46ePH2m5igZOd4mRhchfDjtS9zc3mqmOZ005BiSCxWSQAMAAAACm8AZaGjdvofehzlx6qwx0KBIr/j32r8aAw0SldDTIUKEqF+3uv7soiWr8toud9eVNlxW7ciSyIId39aDsJM8eVIZbVbpFMmTtvnD13UTo/qygqBJKZIlMT589uyFccBf+u2Hj55IkTxJnNixvvhSk6bNNa7q365VE8fJ5AXy55E/R7+gwHhlgdH79+52W56Yu+hd+oR2UwDuPXiop6Vz6HSp/9t37IM1xlKk2VY31PwuQbzPpkWULFawlO/lLakvNwcJZXqc/N79B81bd9Ufxo8bx/EOIPINSKzHGGhQyzd+Ub3GbYxRBqmJxYoUyJk9i3yfteq3XP1plpDJKJXd+h1jRw5wkdnF5AWnzFSxBAk+m+fSukXDlCmS+pY5a+b0jhvDhvU10gEAAAAEGoEw0BAyZMiihQvoCzdKp3Tl6o3lythfsn7288Ua4n7eJa78S2k90CA9pZbteuhP/VKuZNSoZoeLzfv40dRl6q4lT5pYDzQI49qE4vSZ85EiRUyYIJ5EUrSAfQwJIhgf7ti9z7gs4v6DR8pV9l6zUDqoWbNk7NezQ6aM6Xx7qcI/5zMGGkb8NWnIgG52eZ49e24MLhjXETSGdewukpe9XpsbA1+5ZqOxdy1fgvFWpqk+Le1pZ8myNS2b1Td2UO1uwOm/QEOUKJGNawfI/8v4f5Qgzumz52Vj7FgxXbxIqJBmq3a6tKmNbzd5+tzG</t>
  </si>
  <si>
    <t>DX5L/nkgSXNY/jN2TOfvblyn8979h8Z7oEhcwPiHGFcMcdHJN76g3fdZ6OcfjZGsGzdvu719mzxpkjDmpv/4Q6KEn32ALJnSG9cief78xfUbt5MnTxI5UkTNapYvgAoAAAD8ewLnXSekB2J8WKdhqxWrNxi70Hv2HazfpJ0xT/p0qY0PpaNlvEeDcVTWwpvMhTb0iF59unNEQBjvuCk98zWfbpkhjh4/la9whSy5isRMmKFgicrTZi4IyMf4Lk1K48M/R4zX+43SIxo1dopKS/d1994Drvvb+X/MZXwoHd3Bw8ZKj1HfcvXajRp1mxvzGMeKjdPj9+0/9PTpP93XHn2HauaMnzTz9Nl/bi0hUSrjoqEZ06d1upfkmT1vifFz6utHara7fkSKGEHzF2PZmzRtrvE6l8nT5hQqUSVNpnyJUmYvW6nOvv2Hnb6C+Wk1wYMHL/P5nVaq12lmXP/S09Nz5pxF8k8x5tELQPDPg1Zv3P6J7Jw8fdb4lLH7feLkGeNKn8YVUkN8PrvBeCFJtiwZjU9JTEpPv3z1unDJqnkKlI2bNHOOvCXadOyl/QuSJUlkvPZhyPCx8uXoD5v80enn4pWSpP4+fbYC1Wo1MTnpwzcuvlgAAADgGxc4F4MsWaygcZEFUbdha+n4ZcqQNkTIkOcvXLabey+dhwrl7O8iUbNaRce7HkjOAvlzaxYJa1jNYfXaTQP/HC1dyp/y5XZ9i0EXalSrOGDIX/ro9G/1/hjYp3OBn/JcvHh1wJ9/6dmkG9mjc+uAfAwJxMjotH6HBRm4/rFQ+Tq/VfXy8lqweKVxzf9KFUq5ngAiL1W8SIENhvsRDho6Zsz4aTmyZ4kaJfLtO/fslu3UvGfg/6qnkyZJpP+b5A+XoFLTRnU+eHmtXLNx0dLVmmn5CpXv1K55mtQpDh05MW7iDONTxjtK2mnZrseRY6d+yvfDnTv3pdtpfKprx5aaf7Vs3sD4hRQsXnn44J4pUybbf+Bot95D1EYVxJkxaaQWYHVrVZ2/aIX+UP6bEopKnza1vOObN27HT5yxW2QhX95c+t1Aw36+IsnI0ZMl1nPy1NmunVrFi/PZJTB/jpwQN27slMmTbtyyU8qY8anXhvCW3TIKXXoMlLc7ePjYojkTs2ROXyB/nh27fO7/MnHqHA9Pz9o1Kr94+WrC5Fn6h5Ta7eKmMAEhn631H436DhyhHkqkSWI93Tq1ihA+3PJVG/R/mboSx3GFCD9x8cWm+y6VBgAAAHzDAmegQXq282aOLVq6mnGjnP37dk/HAX06O852dnphfO3fqtrd8SEgUiRP+veBI/rDIcPHaZ/ur6n5i/wV7Vo36dVvmL6lc4+Bjtmk5yYdtgB+jO6dWxtv5SjfrcQ4HLO1bdVY+5KxIwfmK1ze+N+RXrTen7QjAaA8hiUzShT9ec78f261KH1v+dH8xbhmh65B3RqpUiZzsdesuYvlx26j9MOrVCyj+dcPObMVLphvy7bd6qF0oWvVdxK2kC5u9OhRtQD7PnuWvj06dO8zxLhRetFO7wUrBvTupKdDhw4lITz9fycJ9TXW+PWXggV+NF6UIZ3kIqV+dfqCFy79c4WF3fwX/R8q3ewYMaJ1bNvMWDCmzVxgnJujyJs2aVBL+3f8Xqvq+Ekz9aCGVJxSFX5zzNbdEMjzHxdfLIEGAAAAfOMC56UTmq3vNGH0YDO3XezZtc1v1Ss5bpd9a9WobLexcoVSmnUqlC3huDGAN55s2az+nwO7u8iQI1vm2VP/CvjHiBsn1qolM2LGiO4iz9L5U75LnVL7Euktz50+1rjygm/kTxs9/LN7dpYsXqiZLzMOcn2ftV6dapoJEnlxul16+106tPBtL98WnkiSOOH0SSNChgxQFG/21NHSpXSRQSIgrVs00CzStFHtJg1rfzGbVIrlC6fa3W/CbikQ5e79B2HDhpEQkm8vlTVLBj194+btcxcuqbQEGqSIOuZXy3NKCGbdijku6rU8tWH1/H9jFRVFXnnHpqXGD+9o8riheXN/rwWYb1+sBgAAAHzbAm2gQciA/KnD29q1auy0WyIbZcx5345VrZr72lur9HlYQYapM2dyspK83dqKdg9D2j/7z3f+8095BvXravdqUSJ73w/Cbh1+173WkJ9Psqhfp/ra5bON1/krEhTo07398kXTonx+ywkXH8P+jT6/8l/654f2rKtZraLjNyx9pCP7NhQskFczJ0vm9Pt3rv5rWN/4n99zQScvtWHVPPnTHJ/q26N96xYNjSEPScuY9vKF0+IaZu8bv3k7MyeP7N29nfGvkHTXji0XzBrvossqMQiJpNh9YCkzOzctTZvmszFn47/P+B3a/VuNRUV66WNG9B8+uKBu9NcAABAASURBVJdjOCN92tRTJwwb3L+rsZDY/WtM3qZEJy81oHenw3vX/1LO+UUH8mf+0bTeiYNbjXNhlJbNG9jFROTbCxPae+GPsqWLzp813u4rkojSojkT16+Ya/zCN2/dpacnj/vTricvr+D1aTWE3Lmy79+1tlyZYo5Broa/19i3Y7V8P/oWuxUf7Oqm8R4QdjUuVKh//jWhP7+FR4L4cdcumy1xGbu7YGi2i7Y2rZlv1264WHtVc7mahosvFgAAAPiWBbPkZgffvmfPnt+6fff2nXsfPnyIFi2qDKGnSpHsi2POU2fMb9e5j/5Qeuktmv6uWc3t7dtLl67ef/goedIkyZImCuBIuJH8sTdv3bl0+Vq4cGGld5QwQTwX130E5GNIKbp3/+HFS1c+fPiYKGH8BAnihg8XTvOvN25ut2/fk08uiahRIkePFjVlymRmXvDa9ZsXL1/9LnVKxx6gnUVLVzdq3uGfHc/tl4CCl5fX5SvXr9+8JWUjWdLEjn11KUKZvi+kP1wwe3yxwgUkcefu/bPnLsaJHfO7NKlCh7bsyhqdu7vHpSvX5AuJGSNagvjx4sWN7dc4gp9IsXnw8PHtO3fv3n0QOkxo+f7lT/PtPpo6</t>
  </si>
  <si>
    <t>qWLnLlx+9+79d2lS2kUWPD09pepdv3FLutwZ0qVxeq9QR/KtXrh4RYpu2jQpfQv3PHz0+PyFy56eXvHjx0mcKEFASp3/vHr95vyFS0+ePo8fN7aUfJN/mp+4+GIBAMC/TU5Ijh47efb8pVNnzkeLGiVjhrTpvkslQ4+u1/zetmPvlWvXJVGmZNG4cZzc7v3Bw0erPt3n206E8OHlBDh9ujRfPKEFvmVBJdDgD9Lxzvx9YeMyeKcOb5O+uob/PqeBhi/u5VugAQAAAIHP0hVr7W5Up0gIYO6MscZJlEYeHh7pshZQnYgObZp2bu/kOtwDh44VL1tdc6lShVKjh/cPGzaMBvwHBc7FIANi3sLlMpj/5o3b1BnzjFGGUiUKE2UAAAAAgoIRoyf1GeBzq6lyZYrFjxf3/fv3Z85ekBjBjZu3fyxYbun8KU4vE966Y6/eiRg3cUbblo1dzHjNmiWD8UZdnp5eN27dvnDRe53sJcvXyijXysUzwoThwkn89xBosNd/8CinN6fo0LqJBgAAACCw8/T0HD5qomZbXHzu9LExYkTTn9qz72CZit5LaA8ZPtZpoEHdEE3dQez1G7f1G7dJnMK3N+rRubXjAlgSX2jWqsvuvQckqHHw8DHfli0HvmWBeTFI/3F6NVTLZvV9u8UAAAAAgMDk8NGT6hbdg/t1NUYZxI95cvbv1VGzXf7w4OEjux3vP3i0dv0WSdSpWUUFCKbMmKf5UaKE8SeP+1Olt+/cpwH/QcxosJc4UYK/DxzRH8aPF6dViwZOb3aA/66IEcIb71kQwtzKl6FChTLu9f9fehAAAAD/By9evlSJGzfvON51rnjRn5ev2hAzRrQ7d+/Hif3ZWo9Ll69RCYlHPHv+YvfeA3v2Hbxw8Uqa1Ck0v9DPOc+cvaAB/0EEGuz9ObBH6xYNJTwpvcoE8eNKoMHC20DgG1GyeCH50fwobpxYl07v1QAAABCo5c6ZXSX6DBwRJ06sXN9nNT6bPFmSzWsXOO718ePH6bMXSaJ4kQJRokQuWaxQC62bPJw1b4maBGHewcPHVSJlymQa8B/EpRP2IkWMIBHH/D/+kDtX9sSJEhBlAAAAAIKUyJEj1atTTRJXrl4vXrZ6llxFOnXrv27jtqdPn7vY6/DRE5JfEjV+/UV+R48etXyZ4pKYNWeR29u3mjnyFqvWbKpSo6F6WLpEYQ34D+L2lgAAAADwGeklDRk+btDQMXbbM2VMV7lC6Tq1qkaMEN7uqVbte86cs0i2Xzq9T92WcvPWXVVqNpLE2JEDqletoOfUb28pmWMYrsx98uSpWhvC5wWbN+jZtY0G/AcRaAAAAAAAJ85fvLx46eqNm3ecOXfRuD1N6hTzZoxNniyJvkUCBIlSel9w0ahezUH9uqqNnp6eabP89PjJUwlP7Ny0VM+sBxp8ky9vrmaN6xQrXEAD/pu4LgAAAAAAnPgudcrunVvLz/0Hj/YfPLJrz36JO0hM4cLFKz8V+WXn5mV6rGHNus0qESlSxPWbtuuvkCplMgk0nDx19viJM1ky268r2bJZfdn44cOH16/fbNq6S92xIneu7BPHDIkXN7YG/GcxowEAAAAATHn58lWv/sOmz1oo6d7d2/3RtJ7aXrJ8TeOt6xzVrlll5J+9VVqf0bB84dQC+fPoeabOmN+ucx/NNmNi89qFkSJG0ID/JhaDBAAAAAAfnp6ePxYslyhl9qEjJzg+GzlypOGDe6VInlTSGz7NXLh0+ZqKMiRJnDBHtsx2P2o1h5lzFj1//sL1W9erU61F098lceHilcbNO3h5eWnAfxOBBgAAAADwETJkyAcPH79+47Zg8Urf8iRLmsj4cNHSVSqxYtG0zWsX2P0M7NtFPbt4+RrtSzq3a5EmdQpJrNu4bfK0uRrw30SgAQAAAAD+Ua5MMc12b8uBf452nFZw9vylLdt2S6JU8UKabQbEjNmLJJHr+6xJkyRyfLWypYqqxMQpc7543Xq4cGEnjRmi0p17DLx5644G/AcRaAAAAACAfzRvXFdd7zBk+LgKVestWLzy9NkLDx89PnDo2Mgxk/P+XFZlK170Z/m9fee+x0+eSqLGr784fbXIkSOppyRysW//4S++e6aM6Vq3aKjSbTv11oD/IAINAAAAAPCPpEkS7dm2Ul3CsHvvgSZ/dMpXqHyaTPmKl63eu/9w2ShhiPUr56qVGmbP97lvZZmSRXx7QT0GMWP2Qs2Edq0bJ0mcUBJbtu1esnytBvzXEGgAAAAAgM9IP3/z2oVNGtbOmiWDcXv8eHF+KVdSwhA/5Mym2W5CsXrtJs12tUXUqFF8ezXJrAIHEjV48eJl8ODB1PZgwYI5zR8+XLhRQ/uodOv2PdzevtWA/xRubwkAAAAAvvL09Lx5686Dh49TpkgaK2YMDcCXEGgAAAAAAACW4dIJ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</t>
  </si>
  <si>
    <t>AAAAAACwDIEGAAAAAABgGQINAAAAAADAMgQaAAAAAACAZQg0AAAAAAAAyxBoAAAAAAAAlgmpBS53H72Q3/FjRdEAfA3UQSDgqEf41lAm8a2hTCIwCZTlmRkNAAAAAADAMgQaAAAAAACAZQg0AAAAAAAAyxBoAAAAAAAAliHQAAAAAAAALEOgAQAAAAAAWIZAAwAAAAAAsAyBBgAAAAAAYBkCDQAAAAAAwDIEGgAAAAAAgGUINAAAAAAAAMsQaAAAAAAAAJYJqSGIOXHyzMEjxx23Bw8WPGLECLFixsiSKX306FE1/7p46eqWbbvkLYJpwdKnS9OuVWMNgEWOHDt59Pgpu41hQoeOECF88qRJsmROHyxYMC1gPnz4EDw4MWh8NXfvPVi7YYvdxpAhQoYPHy5B/LjZs2YKFy6s5l8rVm949PhJpgzpcn2f1UW2w0dPHDtxOnq0qBXLlzJup3YETV5eXjt37//7wOGbt+68fPkqSeKEyZMnLVe6aJzYsbT/i4VLVr189Spn9iyZM6XXKJ9B0p59B89duGS3MUrkyKlTJk+RImmkiBE0f9m3//CZcxfixYldumQRDbAagYYgZ/uufb37D3edZ2Cfzo0b1NL87uq1G4VKVH79xk09fP7iJYEGwEJbtu0eNHSMb89mypiuY5umxYv+7L9zzQcPH0njkC1rxvp1qmvAV3L5yrUOXfr59mzMGNHbt2las9ov4cOF0/xuxOjJJ0+dbdmsvutAw+atu4YMH5cmdQq9I0ftCLLWb9rerlNviX/Zbe/YtV+r5g26dvwjZMh//Vx64J+jb9y83bNrGxVooHwGQctWrps+a6Fvz5YrU2zcqIH+aBVXrdk4ceqc3LmyE2jAv4FAQ9BVtNBPIUOG0B+6vX137fpNOZJJunOPgffuP+zdvZ3mR2MmTFdRhlIlCmfOmC5NqhQagH+BnGKqhKen14sXLx8/eSpp6UHVqNtcOlG9urXV/K5g8cpyMp01SwYN+AbEjxcnUqSImq2Qv337VvX0pKhLB2/x0tXrV875P3TwdNSOoGnwsLF6bFc6Y1kyZ4gSOZLEwpYsXytbRo6Z/PDR49HD+331eQSUz6DD6dF/5eqNN2/dWbl4hr+nNgD/BgINQdf0ySMcY5+HjhyvXruZNFt/jZvaoW3TCOHDa36h4hRyqJszbbQG4F+zd9vKECH+CRS+fftu6/bdrTv0kso7auyUooV/yvNDDs2P3N09NOCbMWX8MOna6Q+9vLyOnzzTteegA4eOHT56YtTYqW1bNtL+HbVrVilcMF94wxGQ2hEErdu4TUUZIkYIv2rJTGM3vk+PDjXqNjt2/PS8hctzfZ+1Vo3K2v8R5TPIihkj+v6da4xbnj593qZTLwk0SGnctn1PuTLFNOCbwaVc+Mz32bMMG9RTpf/ef0Tzo5cvX8vvH3Jm1wD8H4ULF7Z0ySJb1i2UE2J52KBpu5evXmtAICKRtexZM8mQnbrqod+gkSdOntH+HfHjxZGjYfq0qTUEVe/evW/UrL1Kz5422m6yQLy4sRfNmaja2+F/TZIomPZ/RPmELnr0qBNHD1HpTVt3asC3hEAD7CVOlEAlLly8bNx+5+79Dl36FSxROVq8tFlyFanbsPWOXfv0Z8dPmlmtVhMZZdK8Z3BtkHTN31uY3FdIIFZ26dSt//ETZ8pWqiPZatVvuWXbbvWs29u3f44YL9sTpcwuP5VrNJw2c8GHDx+Mr9Cz71B5hf0Hj8pgV7NWXeRd5EXKVKw9dsJ0xzOA8xcvjxwzuULVepInVYa8suPevw/Z5fniZwa+NUkSJ+zXq6NmW05v+469xqe27djbtGXnn4pWlPJHo1FrAAAQAElEQVQslah42epdeg569PiJenbD5h1SC9QMzIlT5khahun0fakL+HaECRN61NC+Kj13wXLjU2aOFLqNW3ZIBsmWPlsBCczZHQKWLF8rtaBLj4Hal2oHAqttO/eqS0FbNW9QIH8exwwyttyscV2JNWTKmO7hI++2NOBnMuL9e/eJU+f8WLCcam9btOl2/cYtuzyUTxhJq5gieVJJvHFzM26Xs18pY3UatsqRt4QUJ2nrKlarP3rctC/Ofzl99kK7zn1Klq8pBVWdJ8txXzYa83DWDTO4dAL2tu7YoxLJkiXRN67bsLVR8w76Ko83bt6WnxWrNzRtVKdfzw7BggU7ceqsHO3Us9LJMS6b9MV9ZeODR49ldzlgz12wTOVcvXZT1szpCxfMd+HilRp1m1+5el1/QTlsy8/qdZunTRgWLZrPDTJ27zsgx/gQIUOuXf/PcuV79h1UP/Nnjdc3njx1Vrpb+kM5PMtby8+A3p2aNKxt/jMD36BypYu1au89KenCpStqi6enZ7vOfWfOWaTnkYItZwbyM3vu4n07VidKGF+Kt15/pa7JT+pPC6xQF/CtSZM6RY5smSWubVyD3eSRQpk6Y96osVNUWsq2dNvkp0/39i2a/q42Xrp8VWqEuhbaRe1AIKafS9SrU823PO1aNe7YtpneDAb8TMb7NTv3mTN/qUr7tLer1ustsEL5hJH6v0uiSMH8+sb7Dx7VadBSDvT6FnVyLqMOy1ev37J2oW8Li0hEwG7NeDlPloO+/Mi5dPEiBdRGzrphBjMa4EPC6vfuPxw2amK/QSM12xWJeT5dHCtRRjlASv2X8dJFcyZePr1v99YVlSp4r3U8buKMZSvXSaJn17Z7t69Sh72qlcpK+u+dq03uq5Ns8pM7V3ZpetKnTV2pQmkJizZs3kE1oMMH9zpzdMex/Zu6d24tDyXS2df2UY2kvZNP/tewvvt2rJo3c5z6PNKcHfp0R08ZGahYrYFmm3m4eO6kc8d3zZ0+Rk2JlAHeM+cu+vUzA9+UqFGjqGJ/7rxPH2zztt0qylCrRuXlC6eePrJ9zrTRqjxLIZ86Y74kqlYsI3VWTQNu2ay+pJs1rqNRF/Ct+j5HFvl9/MRp9dCvRwop0lLap4wfev7Erk1r5qsp</t>
  </si>
  <si>
    <t>6D36/un0WgzfagcCNz0okCB+XN/yhAwZ0rELFJAzGRl/VlEGiW4c3L3uyL4NrVs0tIsy2KF8Binv3r2TGKv6kTPbnbv/Hj1uWgFbN14KW8liBfWcYyZMV1GGnl3bbF67QIrc6OH91HVnEiDYun2P09d/+OixijJIAZ45edTJQ1vXLJsl5Uo9O/BP+/XXOOuGa8xoCLq+z1siVKhQKu3h4WF366aJY/+UHotK9x04QrOFHtavnBsvbmxJx4gRbdLYP5+/eCnx+E7dBpQqXli2y0+kiN4rhMeNEzvdd6nM7xs2bBj9fQvkz7N0/mQ9zirDAhIKlYQ0TzImoDa2+aNhyJAhevYdOn3Wwnp1qttdprh80TQZ7JJE2jSp5KnMOQtLeufu/d9n9z4x/WvcVDXDcNuGxeoO2CWLF0qePEnun8pIesmyNem7tvHrZwa+KXJaLKNnp86cVw8nTZ2j2U4aRv7ZW50TS4ZiRQps2LRdjutHj5/SbOEJ+QkbNqxsSZAgrr/rL/D/ETtWDM3Wo5PT4tixYi5YvNKvR4qFcyaqBVPlQLBu5dz0WX+SVxs0dIxxIE7xrXYgcLt1+678ltMJf4ym+u9M5v1797adestTVSqWGTqwh8rWo0vrjx8/yiCzb+9F+QxS5L9cpNSvjtulG79+1Tz9lhOSbeyE6ZLo2LZZq+YN1MakSRJlzZLxx4LlJH3y9LkihfI7vs6c+ctUYt6MsaoXkChh/Ly5v79+89bK1RulGHt6etrd7oezbrjAjIagSyILam6S/OhRBqnn5csUP7BrrTEsqqZFNfi9pqr/ihx6f63s3VpJC3LZMBvQjl/3bVC3unE218Yt3gvbSOxTPzYrFcqWUIl9+z+7yksaO9XeKYkTJVBh/tev36gtx20DVs0a11XtnfJd6pQTRg8e/9egyhXLaAH7e4FvxIsXL1VixJBeyxdOHTqop/F0WdI/F/hR816r3N3Fi1AX8I1TbbtfjxTSDzTeliVypIh/2IbsZCDOtzUdENSo69j9173x35nMpSvX1MMWTesZszFDAV8kp/F/tOkmgVf1MGyY0Hu3r5Kwqd2FP8mTJlZnxb4d+n+rXnHdijmrl87UxxqV3Ll8Gkx3j8/Wd+CsG64xoyHoGjtyQPjw4by8vJ48fa6H23+rUblnlzZhwoTWsz16/ERN21u1dtPV6zeMr/D06XOVuH79ZoZ0aRzfwh/7JkmSyJjtou0680uXrtZp2Epz5tq1m8aHKZInscuQKlXyY8dPe9pWpvHw8JC0JDKm/84uW9VKZf39mYFvypWr3uVWrwsyiCE/Uqr3HzwqFUoO2BcuXJHzWlXOvbx87VZRF/DNunnrjkrEixtH8/uRQs0fNsqUMa1KyPl6wgTxNAR58ePHlR6OfnmOn/jvTOb8BZ8VuNOkSm58NmaM6CmSJ71CXwu24cAzR3eotERFnzx9Jk3W8lXrp89auGL1hj37Dh4/uDlC+PAhQ4ZM910q+Xnw8NG2HXslhnXp8tWz5y7+fcDndnIfP350+vqxYsaQH09Pz+Mnzpy/ePna9ZsXL109ePiY3axnHWfdcI1AQ9BVvmzx8OHCqfTvtao2+aPTkuVrx0+a+fLlqzEj+uvZ1OxBzbDYjCM9j2/bze+b0HAxpLSDFy56H56lDVq5eqPT3aURND6MGTOGXYYQwUPo6es3bqtEnNgxNV8E5O8FvjoZhbtx07ucqzWoNdvl60OGjxs3cYbrC30dURfwzbp85bpm64CFCxfWH0eKGDGi2WWI9enYIUOCBBqg2c5GZABGCpWEG6SkOc0j/ahz5y+l/S6VfiGqvq+eNl8+L9tmNEhP0u7VNNv0dQIN0Lyn2ISNHDmS/jBq1ChyrM+XN1ec2LEGDR0jZVXKWPWqFTTbRIDO3QfIib3mR0tXrO3R50/fIgt2OOuGawQa4E1in+P/GnTl2g0JPc5dsEyCoE0b1VFPqWUXROsWDXN/Wh7STsoUSZ1u98e+IQyXfgULFkyO7tJWFi30U/261Z3ubne+GDy4q2spI0f2+TwvX772LU9A/l7gq1NrLohkSROrRPc+f0oAUbOdv+b/8Yfvc2RJnzaNjN/2GTDC9V3QqAv4Nkk0/JitnKe1XY7ujyOFh8Pd3Z4/97nUyDi/F0FZgZ/yrNu4TbPd0CRmbueBhh27/q5Ss5Ekpk4Y9ku5kvp2/53JqFUnJR4h0eEQIUIYM7x9+1YDfCfFTwINmu1Gkpr3mpHvpWSq2QTx48UpkD9Plszp032XWn5nyVlESqNvMxrWrNtcv0k7lf4xT84fcmb7Lk3KnDmy7t57oFmrLprDVAjOuuEagQb4kFjDxNFDcubzPlJ27TU4d64calXYJIkTqgwxoke1WzlGGrKz5y/GjhUzbhznZ2YB2VeRBm7PvoOScFy0RoYaIkaMoObNmiRvpxJqyNdo+qyFa9Zvzpwxfad2zQP4mYGv5cOHD116DlTpX8p5X/37xs1NRRkKF8w3c8oofRKTULcG9Prg5durBbz+Av+G4X9NUtNz1MCd5vcjxdXPJziIK9euq4TxImEEZYV/9llPYeLUOXlzf+80z8y5i1XCeJm6I5PlM1MGn+t3ZPw2qeHiC+nanTl7QQN85+HpqRJRo3ivrXDw8DEVZejYtpnxDqwvX71WSzN6ejo/9I+xLSEpsYl1K+bo5wCa9x1VfRYQcXG5pSPOusFikPhHqpTJ/hzYXaVbtOnqYVvxJXToUGqx7nGTZrp9HlMfPGxsoRJVMuYouGvPAacvGJB9lcyZ0svvTVt3nv78KLt5666filbMnqf48L8maqZJU6suzZ06c77np0ZZs80tnzpj3rYde+/eux/wzwx8FVKkh46coM4tZHAjeTLvKyf1m1xWKFvCGGW4cvW6yul40vD+nc8aUdQFfIOk8R81dopmu25CH0P265Fi4eKVcsKtP5SD3dgJMzTbCJ5v95ZX9NqBQC9Z0sRVbCvVrV67adrMBY4ZZKNaxK5ooZ8S</t>
  </si>
  <si>
    <t>J0rg4qVMls80qVOq7ZOnzzNmW79xm8kL3yifQZOEotSIgvg+u3fM68TJs+qhlGHjOtAbNm1XCaer3spGdUfMAvnzGKMMMmKxeetOnzxevg5OOOKsGwQa8Jm6v1VVgfkz5y6O+9Rs9ezaVrMtkVW3QetHj59otuvAV63ZpO63JI1Rgfy5fXvBgOwrmjeuqxJ1GrRSy1VKe3ri5JmmLTur7b9Vr6T5RZcOf2i22GrrDr1Ui3bn7v2un+7lW7F8qYB/ZuD/QI7Q6mfjlh0zZi/qP3jUj4XKq3tcSwesa8c/VLYE8X2uNp+/aIWcK6j02fOXipetodL6zSlEBNti0bv3HpDxNLWduoCvSAblVCGX/ti8hcuHDB9XsVp9NVNdjBraR85QVdqvRwrptv36W+Pnz19IWg4EzVt3VQNu3Tq18u3DONYOBHrSAKol9Nt26t2oeYcjx06+f+8ubaA0oVJm1K0oJcOAPp1cv47J8hk2bJgmDWtLYtzEGXPmL1VPHT9xpmW7Hl/6pJTPoOLxk6f60V9+1m3cNnPOorKV6qgCkyJ50uzZMkkiUaL4Kv+c+ctUD1/69mvWbZZirLa/eu3kWgYJs6r4wqo1G+XcWG188uRZzbot1Emy5h108NtVPJx1B3FcOoHPhAgRYtSwvnl/9l4Mtle/YWVKFpFx0SKF8tesVlFaMYnHp874o4QepcnQ4+szJo10MQQUkH1F3Dixxo4c0KxVFxmAlcC/NDdvbCszqWdH/tnb9TCCo/w//qA+j/pJkzqFWqVJ/F77VzVrK4CfGfg/0LtbdiTKsHb5bDWdQbPNAy9epMCGzTv27DuYMEV2GbC9eu2GWuRJXTYsZfvV6zfq5ttp06SUh1LsM31fSMaKp04YRl3AVyTHIN+emjl5VMnihfSH/jhS/H3gSLK0P0iR1k+gG/5ew/FuFDrH2qEhsIsfL876VfMqVPldytKipavlxzHPkvlT9JV3fWO+fPbp3u7S5atbtu1u0aZb7/7Do0SJbHINSMpn0CHxVqfbJeY1b8ZYNXWxQL7c6hA/YvSkydPm5Mie5fCR4+rYrbaf/dTu2ZFmsGuvwZIzQ/afs2bJ4P7eXbWQUhfUmYMUyASGtU6/iLPuII7/XJDzxeqa7rtUHds2U+nO3X2u9x49vN+U8UOlodFskx1U/ZcOzO6tK7JkTq/vGyKE94sbp2mZ3FffI5jDsjLVq1bYsXGJWjBCmh51bJamau70MbVrVvnnrW3r3AYPZv/XqY8UwvBXy+eRQ75aRFq1d9I6D+7fbXC/rn76zMA3QgqwHJhLlSg8fdKIM0d3pP781mjjxWNEbAAAEABJREFURg3UL2WXcIOcK0j1WTp/yua1PpOBd+zcqxKD+nXVz5gvXPS50Rp1Af9nvh2kpHAWyJ9nQO9OV8/+XbZ0UbtnzR4pbEeE4YN7qUqhzqGlBo0Z0V+OAnafIaRhQT6ntQOBXoZ0aaSt69SuuZraYNSkYe0LJ3cbg1MBP5MJGTLk1PHD1J3/JI906uR9pRGWJlczVA3KZxAULJjzZRf1htF49I8aNcqKxdNV4ZSj9o5d++R34YL5Du9d37en96SGA4eOPXj4SBLBbaVIX3y0cYNa+sSuY8dPSwspJXDIgG4nDm5Rp83rNmxVz3LWDTOC+bbu6H/U3UfeMyHjx4qi4d/x/PmLS1euhQsbNlHC+BJr/7/tq9kmuF69euPd+/eye+xYMX1rc82TRvb6jduxYkaXwYSQIUP+G585CKIOfpukJN+8dcfTyytlimSRI0V0kVMiEV5eXjIEZ3eLNerC/xP1yN/MHykk57nzl2JEjyYjzCYPKL7VjqAgiJdJ+b8/evz0wYOHb9zeyjmD9Ij8N8pqsnw+e/b86vWbESNESJUymfk3Cmrlk3bSNeniPXj4+NbtOxEiREiRLEmYMKFN7vj27Ts5YXj+4mXSJAktvBEPZ92uBcryTKABgJWog0DAUY/wraFM4ltDmURgEijLM5dOAAAAAAAAyxBoAAAAAAAAliHQAAAAAAAALEOgAQAAAAAAWIZAAwAAAAAAsAyBBgAAAAAAYBkCDQAAAAAAwDIEGgAAAAAAgGUINAAAAAAAAMsQaAAAAAAAAJYh0AAAAAAAACxDoAEAAAAAAFiGQAMAAAAAALAMgQYAAAAAAGAZAg0AAAAAAMAyBBoAAAAAAIBlCDQAAAAAAADLEGgAAAAAAACWIdAAAAAAAAAsQ6ABAAAAAABYhkADAAAAAACwTLCPHz9qgcjdRy9eub2PFD6MBuBrePXmnRYsGHUQCAjqEb41lEl8ayiTCEykPEeKEDZ+rChaIMKMBgAAAAAAYJmQWqAjoc1AFg0C/kPu2n5TB4GAoB7hW0OZxLeGMonA5K4WCDGj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hNcDBq9dvFixeIYkC+fKkSplMEp6entNnL5RE4kQJihUu4HSvzVt3Xb95K2GC+CWK/vzw0eOVazbKxiyZ0n+fPYtvb/Tx48fpsxZ6ffBKlSJZgfx5NBP2/n1oz76DlSqUSpE8qdMMx46fPn32/LPnLzJlSJs1c4YoUSI7zXbj5u0Dh47duXsvZfKk2bNljh8vjgYEwMuXrw4fPXnt+s03bm7JkyZOlzZ18mRJnOY0WfZu37l38vS569dvhggZMkWyJFKYY8SI5jTn06fP</t>
  </si>
  <si>
    <t>T505d/rM+XDhwkmFzfNDjhAhQmimuf48V65ef/7ipYvdY8WMIc2CZoLJuqmbt3C5fAktm9UPEya0hkDk5q078xetyPV9Vt+afZN15MWLl7v3Hrh2/ZZUjexZM0nhDx7c+fCJX8ueP/blmBIEUa7wtdCK4j+BQAOcePLkaYcu/SQx/q9BKtDw9t17tUXs3roiQ7o0jnvNnr909dpNBQvklUCDdHhU/hzZMm9eu8C3Nzp89ETbTr0lMWxQTzOBhnMXLpX+pZYkMmdK7xhoeP78RaPmHTdt3Wnc+Newvr9Vr2TcItGN3v2Hjxo7xbixZrWKI4b0ChmSGgH/mDF7Uffeg1+/cTNubFC3RrdOLSNHjqRvMVn23N6+7T/4r3ETZ9i9y+D+3erXqWZ3EjB5+ly9biqZMqabMHpQ2jSptC8x83k6dO23bcdeFy8i+UcP76e5ZLJuGi1csqpZqy6SaPh7DQINgYlUk+q1m545d7FF098dm33z7fOyletatu1urHRS8pfOnxwzRnRjNn+UPb/uyzElCKJc4SuiFcV/RYhevXppgcgrt/fyO1KEsBoCQAYwJ06ZLYnSJQpnSP+dJNzdPUaMnqSePXjoaM1qlRyHTJev2nDx0pVkSRNXrVQ2TOjQDx89Pn7izN17D6pULBMtWlSnbySvKWFOSUwcPThs2C/81+QFy1f+/YVtcLVShdIpUyQ1Puvp6Vn1tybbd+2TdNFCPxX6+cfnL149e/Z8/abtMuKaLUtGPefgYWOHjZqo2drTX8qXDBUypBo6vnj5avkyxTUETBCsg9IlbtGmq7uHhxybq1Yumzd3Trc3bo8ePzl6/JTUiIrlS+k5TZa9Nh17T50xXxJpUqeoUrFs5ozpbt26K9GHLdt2RYsaJUf2zHrOLj0HDRwyWhLy1jV+/SVxogTnL15+8PDR+o3balSt8MU6ZebzLFq6SsY6XLzIDzmzFSmU30UG83VTJ2Mav9ZqotKtmtf/4h8S+ATWeuTh4SEnnXv2HZS0jMX9/FNeuwwm64gEv2rUbS6VToa8qlQqmzBBfKlrUvLXbdgmR4dw4Xy+N3+UPR3HFDucX+koV9+IoFkmaUUDq0BZnoNJDEkLRO4+eiG/48eKoiEArt+4lfWHopptRsOvlctptospEqfKoWfo1K55x7bN7PaqVb+lmtGwdL53SPLQkeNFS1eTRLdOrdq2bOT4Lm/fvkudMa93XLZqhbEjB2gu2YVd588aX7xIAWOGFas31G3YWhIyuCpBUPX6vzdqvWHzjogRwl84tSd8uHCabTp6xhwFJSFvOmpoHxUoHTpyQv/BoySxac18Fxd6wIygVgel/58geTbNNnln8dyJUaN6/+FeXl49+g5VUxIWzB6vrjYyWfb2HzxaolwNzTYhYkCfTirby5evpOP994Ejkr50eq8abbh2/Wa23MUkUbJYwdnTRquZDnpFGNinc+MGtVx8cpOfR/5AD3cPh7/6XeGSVSSMKCcoOzcvsxv9sGOybirv37uPHDN50NAx+pZr5/arbzVICZT16MTJM81adZFROPVQxuL6dG9vzGCyTH748CFnvlJXrl5Pnzb1qiUzo0f3DmTv2LWvQtV6kujVrW3LZvXVC/qp7NnhmGKH8ysd5eobEQTLJK1oIBYoyzOLQcI/pBtw8tRZ13mkXVBXN8yet8Rphk1bdqrAgYzEungdiX3WqNOsXuO2dvPS7UyYPEt+yzuqtkxIOHbIgO6abY7Z8pXr1ca5C5aphIQ/9OlYEgdJkjihJNQwMmDe0WOnVGJI/256fzhEiBC9uraR46ikDx85oTaaLHs7d/8tv2XfXt3b6tkiR440qG8XlT556pxKjJ/kXealqz9mRH/9eopypYulSZ1CEtt37nP9yU1+HjkPiBIlst3PgCF/SZRBnp0/c5zrKINmum6K02cv/FT0F2OUAYGDDGn0GTCiQLFK+vmxUybLpAzlyfmxJNq3bqrOj0WB/Hlq16wiiUlT58gwmtpovuw54pgC31Cu8P9HK4r/IgIN8Jt6daqpRNOWnd0dxjnt1LdlvnHztro+ws68hcvlt7QjuXNld/EiZ89fWrdxm2abIbZ3+yqned69e3/g0DFJ1Krx2UVfiRLGVy++bOU6tWXv34fkd+GC+eLFja1nCxYsWLUq5TXbHHi9bQXMePLkWaaM6aSznTHDd8btoUKFUsfIW7fvqi0my567u7tECn4u8KPdKIEUZpW4e+++Zivzk6fPlUTXji2NlybJC65YNP3U4W3TJ4/QXPJ3XZBBjznzl2q2mU3yt7t8Ez/UTbFuw9YLF69Iom6tqjMnj9IQWEhZUhffSU1Zs2xW1iwZnGYzWSYPHj6u2YJxRQp/ds1OxfIlNe8K8uDYCe8jjp/Knh2OKfAN5QpfBa0o/osINMBvvs+epUObppKQkKq+aoNvKlbwuTp9yYq1dk/du/9QrQ1Tv051aU1cv470u6ZPGrF2+WzfFre/eOmKSmTNbN/y5syRVTMMAu/ee0CzzXK3y5Ylc3qVkLCIBphWrkyxnZuWXjq91269IglAqGGHdGlTqy0my173zq3371wza4p9N/vw0ZMqoSYsPHj4SD3Mm/t7+X3/waM16zav37Rd4hpx48RKmCCei9mMfvo8dt6/d2/Xua9mCxHqUytdMF83laKFftq0Zv7wwb0iRoygIRCRM9o+3dsf3b9JlVinTJbJY8e9pxFlzJDWrpBnypBWJS5euqr5vewZcUyBbyhX+FpoRfGfQ6ABftbmj0aqq/PFCyhixYwh3TBJzJqzyC4eufxTILNyxdKaSxL43Ld9VfkyxV3cse/ps+cqEc3hWu6oUb1vovP4yVMvLy+3t2/VRn2e2D/Zovjs+PDREw0IsMHDxqpEnh+8FzcJYNlzd/fo3X+YZjvPSG+754tEFtRTYcOGKV62etos+X+r90f12k0zfV+obsPWz5+/0Fzy9+eZu2CZmm85sG8XeWvtS0zWTbWlzR8NF86ZwLXH</t>
  </si>
  <si>
    <t>gU+oUKGunT/QounvkXyPH5kvk0+ePrNls7/ba6RIEVVC1Q4/lT07HFPgG8oVvgpaUfwXEWiAn4UJE3ri6MEq3bB5BxnhdJG5VvXKmu1arF17Dhi3z7It3CBhiDixY2kuBbdxnef16zcq4bhonN7AvX33/s2nVR6iR3Nsznxu6vv27TsNCJiZcxap6xpq1aisgvQBKXsfPnxo0aarmh8xbHAvNf5w//5D9WypCrUOHDomAQh5I7UqxIrVG4qXq+H6yiZ/f55J0+ZotoUhirq804TOZN1UCe5iFYh98Z9rvkw+t917KHasGHbZ5EihqoCbm/dL+ans2eGYAt9QrvC10IriP4dAA/wjc6b06q4TFy5ecX0BRf4fc6m14pYarp44cfKMuhK75q8VNSt4eX1QCcch1nCfZoV5enjo2UKHCmWXLXx4n2zuHl9YeAJwbf6iFa3a99RsFxf07eGzHLS/y56np2e7zn0WLV2t2QJzVSqWUdsfPHqsEleuXm/VvMGVs/s3r10gv5s2qqPZKubYidM13/nv8xw+ekLV3CYNaruYYeT0jVzXTQ1Bnvky6enp5TSbZls2VX572CbQBaTscUyBbyhX+GbRiuJbw/AR/Kl1i4Zr1m2WUdbBw8aWKPqzhB6cZpP4a/261QcNHTNv4fIhA7pFCO8dKF1o6zVJAKJA/tya7d6ZIx2iFdmzZipZvJBmTpQokVTCze2t9nl89tWr1yoh7VroMKF9sjkER19+yhYh/BeubAd88/Hjx6EjJwwY8pdmG/NfvXSmOmBr3kdun+mIfip7b1vtJ0oAABAASURBVNzc6jduu2HzDs22eMGEvwbrT4X9VJhle8+ubVQ6dOhQEto4eOiYRATmLlgulfT02QvLHdZqqlCuZPJkif3xeebM91kaWi3RZLRu47YjR0/YbWzZvIHJuqkhyDNfR2LGiCbxtTdubx1f5OXLV7Zs3geagJQ9jinwDeUK3yxaUXxrCDTAn8KECT1u1MCfinpPSWjUouPOTct8y1m1Ull1v7oNm7ZXLF/K3d1j9tzF8lACEGoamDRqw/+yDzTUrVXVfKAh9qfrL54/f2G3YOSzTxerh7G1ZREjhH/9xu2FrRk1emGbRSYiRYyoAX7n4eHRpmNvdTuG9GlTL5432bh+cvhw4fxa9h4+evxrrSbqji1SiUYN7Rvm0/FYxIsbRyWqVi5r3Ct48OBVKpWRQIOcQ7x79/7CxcuOlStd2tQZ0qXx6+eRQ/7MOYs02/1oY8Swv7Bzy7Zd02cttNtYt9av5usmgjjzdUQV/mcOC5F4enqquyBHtl1mHJCyxzEFvqFc4ZtFK4pvDYEG+F+mjOk6tWsuQYQLF68MGzXBt2xJkyQqkD/Pjl37Fi1ZLYGGrTv2qFZMHxSVYVi1uqSR3o8yI06smCrh2Giq1WjUjQZFggTx5NM++7REjU7fEsvhijXgi169flOnQcttO/ZKumCBvNMnjYwcyf646Keyd+nytfJV6t6990CzLZHYrVMru5uzxIntU+bD24YdjGLH9Hnq9Zs3USJHdqxcslHze11YuXqDStSrXU1zIBXW8Y3kHCJOWLN1EzBZJuPF8z46PH5svzzY809npbFttcP8ccERxxT4hnKFbxmtKL4prNGAAGndomF62937/hwxfvuOPb5l+62698SHTVt3SquxZNkazXa/XD3AGStmjP0719j9tG/dRDMtWjSfdWV27dlv99SmLd430fwhZzb1MEWyJPJ745Yddtl27vbeMWaM6Anix9UAv3B7+7Z67aYqylC3VtUFs8Y7Rhk0v5S9q9dulCxfU0UZxozo371za8dbwMb/lPn0mfN2T925e0+zXbshrykVzbFyyUbN73Vhq62Cy5mB09t3S4V1fCOp2ubrJmCyTCZOGF9+Hzh0zO7uKnv2HVSJLLZL+QJS9jimwDeUK3zLaEXxTSHQgAAJHTrUuFEDVfr1p5VjHZUoWlAtY7t81YZltivGa1WvpFknePDgjerVlMSsuUuMN9o5cfKMuhXfT/lyqy2/Vi6ned9A+LTarrx/7z5/0XJJFC38kwb4Ub+BI9WxuWPbZsMH9wrlbHUlzXTZ8/T0rFXvj8dPnkp60ZyJNX79xemryaG3eJECkliweKV+HaPaXd3SpUD+PJpLfq0Le/cd0gz3tTbJfN0ETJbJcmWKq8TaDVuNuy+2rf4jIbbkttPWgJQ9jinwDeUK3zJaUXxTCDQgoNQFFK7zhAsX9jdbZKFtp96a7XKsooULaJZqaGvOpHvWtGVndWO/m7fu1G7QSrN1ySqULaGylShWML5twliNus3VXYJlOPr3Rq1VlKRJw9oa4BcnT50dP3mWZjsw58yRdduOvXY/kkHlNFn2ps9eqO5kWbJYwRAhQji+4K3bd1XOdrZZP3JgbtCk3ZMnzzTbgblD137qxhDlP51G+MZPdeHuvQcq9pHuu9SaH5msm4DJMhkvbmwVgOvUrb+MyGm2dVhHjJ60buM2Sbdq0UCfAWS+7LVo061B03ZjJ/xzrxaOKfAN5QrfLFpRfFNYowEWaN2i4eq1m1TvyDfVq1ZQ/TFRr051y5d/k+CrhE4nTp2zaOlq+UmfNrX+ecb/NUi/uU7IkCH79+5Ut2Fr6YylzZLfmK196yYZ0qXRAL8YMXqySkhXvGK1+o4ZJF4wd8ZYzVzZkyN9n/7D1UY53qtDvp2BfTo3blBLs92ZpUXT30ePm7Zp686UGfLIC964eVsdmCVPkUL5NZf8VBfuP3ioEmnTpNT8yGTdBMyXyZbN6q9cvUFKe/Gy1VMkT/rixUsVCMuXN1et6pX1bObLnlrG1c3tbbPGdf20L8eUIIhyhW8WrSi+KcxogBPBg/sUDD2i6ZgwCh061ITRg+32tZMh/XeZMqZTacd745mkv7mzT6EN6td1yIBu6hoN1UhJ07l0/hR1RbpORnrXLJulFqFR2WQX6Zh1bt9CA/zo3IVLrjMEM9SIL5Y9Ocy7uARJCR4i</t>
  </si>
  <si>
    <t>hJ7u0739jEkj1VCAvKDsK7VscP9uKhLxRebrwvPnPgtEpU6VQvM7k3XTKHhwV20O/tNCBPcuw8GDOTlYmCyTqVIm27djde5c2TXbpB51ftygbo0500bbRbFNlj2VIdjnxy+OKfAN5QpfF60o/hOCyQCaFojcfeS9qEn8WFE0BFVSpGVcV4aXEyaIlyB+3BCGXpmdR4+fXLp8LUb0aNK0MaxqFeqgGZaXPTlFkBeU84aYMaJrfvf/qQvm6yaoRybLpATXzp2/GCZ06KRJEkWOHMm3bAEpexxTFMqkI8rV10WZdI1W9L8lUJZnAg0ArEQdBAKOeoRvDWUS3xrKJAKTQFmeuXQC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YJ9/PhRC0TuPnrxyu19pPBhNABfw6s377RgwaiDQEBQj/CtoUziW0OZRGAi5TlShLDxY0XRAhFmNAAAAAAAAMuE1AIdCW0GsmgQ8B9y1/abOggEBPUI3xrKJL41lEkEJne1QIgZ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JqQEGR46dPHr8lN3GYMGChQ0TJlasGD98ny1KlMhOd9y2Y++Va9clUaZk0bhxYunb167fcvf+A0kUyJcnVcpkmi8WLln18tUrSVStVC5ypIi+ZTt99sLFS1du3roTPVrUFMmTZsuSMVy4sI7ZPD09d+05IJ/n40ctW5YMGdOnDRMmtNMXPHb89Omz5589f5EpQ9qsmTP49tcBX/Ty5avDR09eu37zjZtb8qSJ06VNnTxZEqc5b9y8feDQsTt376VMnjR7tszx48Vxmu32nXsnT5+7fv1miJAhUyRLIuUzRoxoTnM+ffr81Jlzp8+cDxcunNSyPD/kCBEihGaa689z5er15y9eutg9VswYiRMl0EwwWd1MVnMENQFprk3ua7JuInAz0/Y+e/b8xs07TndPmDBezBjRjVsCUq5M7vvixcvdew9cu35LPmr2rJnkQBA8OEOJgZyfjs6UWHwVBBrwmS3bdg8aOsZFhmpVyg/o3Slq1CjGjR4eHo2ad3j85KmkHz9+2rl9i3+e8vTs0KWfJDJlTLdl7YJQoUI5vuaadZsbt+goiaKFfqpfp7rT95VeR8eu/TZs3mHcmCRxwpF/9i6QP49xo/RS6jRoJe2vviVihPArl8yQ7oox2/PnLxo177hp607jxr+G9f2teiUN8KMZsxd17z349Rs348YGdWt069QycuRI+paPHz/27j981Ngpxmw1q1UcMaRXyJD/tMZub9/2H/zXuIkz7N5lcP9u9etUszsYT54+V1UxndS1CaMHpU2TSvsSM5+nQ9d+EkZ08SKSf/TwfppLJqub+WqOICUgzbXJfU3WTQRu5tveOfOX9ej7p9MXGdSva6N6NVU6IOXK/L7LVq5r2ba78QAkR4Gl8yfb9R4RyPjp6EyJxVcRolevXlog8srtvfyOFIHhL3/a+/ehPfsOSiJN6hRS4dVP1ChRQgQPLgdg2S6jpidOna1UoZTxiLt52+7Z85ao9ImTZ5o3/l0fUP0uTcoLF6+cv3j5wcNHMiyZO1d2u3eUwdhK1RvKi0s4YNnCaZEiRnD8VPJs6V9qSYhU0tLfKFe6WNIkCc+cvSAB0YVLVhUt/FO8uD4R07v3HhQvW10iqZr35IiyMhBx9doNactmzV1cuGC++PHiqmyenp5Vf2uyfdc+zRbdKPTzj89fvJJw7/pN2yUAbBeSgJ8EwToohbBFm67uHh5SWapWLps3d063N26PHj85evyUjMxXLF9Kzzl42NhhoyZqtmPqL+VLhgoZUg2dXbx8tXyZ4nq2Nh17T50xX7NVwyoVy2bOmO7WrbtSC7Zs2xUtapQc2TPrObv0HDRwyGhJyFvX+PUXGbtQdW39xm01qlYIG/YL/wUzn2fR0lUy5uDiRX7Ima1IofwuMpisbuareVDAsUwXkOba/L4m62ZQFhTKpPm2d8r0uWfPX3L6IoUL5s+RLZNKB6RcmdxXupo16jaXA5AMHVepVDZhgvhy3JGjwLoN2ypVKB24p4MF8XbST0dnSuy3L1CW52ASf9ICkbuPXsjv+LGiaPAXaSbUjIbHt0/bzb4+c+5ivcZtJGog6QmjB0s3Xn+q5u8t1q7fIj35Ldt2y8MZk0aWK1NMf1Z6XNl+KKoil/t3rpHjt/FlG7foKL0IScyaMqpMqaJOP9Xwvyb1HThCElPGD9W7bZcuXytYvJK8rLRoOzctVRtlaFcGeCVmsXb5bNkuW27dvlumYu0bN28XLJB36XyfOOuK1RvqNmwtCYn1SrRVEm/fvvu9UWsZSpV9L5zaEz5cOA3+EtTqoJyDJkieTRI5smVePHeimuzj5eXVo+9QNSy2</t>
  </si>
  <si>
    <t>YPb4YoULaLbpuBlzFJRE9aoVRg3towL8Q0dO6D94lCQ2rZn/ffYskth/8GiJcjU024SIAX06qWwvX776tVaTvw8ckfSl03tV1P/a9ZvZcntXtJLFCs6eNlrF/vSyPbBP58YNarn45CY/j/yBHu4eDn/1u8Ilq0hcT04Udm5e5noUwmR1M1/NgwKOZbqANNcm9zVZF4K4QF8mzbe9IkuuInJe0a5V4+aN69q9Tvjw4dTkzYCUK5P7fvjwIWe+UleuXk+fNvWqJTOjR48qG3fs2lfC2l7RAAAQAElEQVShaj1J9OrWtmWz+lrgFcTbST8dnSmx375AWZ65HgZmSaMwe+polT5w6Ki+/f6DRxJlkESdmlXy5c0liSkz5hl3lIGjsSMHqnTz1l2lD6Y/tXHLDhVlqFalvG9RBs37go5d8rt4kQLGweFUKZN179JGEidPnX31+o0kpDciUQbbq1VQUQaRKGH8bp1aaWoViU/XU0yYPEt+p0ieVJ16ComhDhnQXb3I8pXrNcCco8d81jQZ0r+bfkmRBOl6dW0jPRlJHz5yQm2cu2CZSkiB1KcRtm3ZKEnihJJQw2hi5+6/Ndv1Pr26t9WzRY4caVDfLip98tQ5lRg/ybsYy8nEmBH99RlG5UoXU7G87Tv3uf7kJj+P9MSiRIls9zNgyF9yHiPPzp857otzHU1WN5PVHEFNQJprk/uarAsI3My3vdIWSZ9NEjmyZ3ZsHvVLRANSrkzuu2ffQXVi0751U9Vn02wzwmrXrCKJSVPneHp6agikzB+dKbH4Wgg0wA/kpF8t63Lk2D8LRi5dvkYlfsyTs0rFMpqtHVETH3RlSxdV86YOHz0x5VNz8+LFy+atumq2npKMvvr2ph8/fpRTQ2mqVBTDSIIIKnH//kPN1hVRDytXLG3MVqxIAZVYYwuIvHv3Xk3PrlWjkt2rqSs7lq1cpwHmPHnyTKJacjjPmOE743Y5cqvj663bd9WWvX8f0rznKOaLFze2ni1YsGASZdNs11+o46u7u7tECn4u8KPdOK1e2u/eu6/ZirEKq3Xt2DJatKjGF1yxaPqpw9umTx6huWTy8ziSwYc5870nF3Rq11yP6PnGZHUzX80RpASkuTa/r7/rAgITk22vOH/BZwp6xvRpXbxgQMqVyX0PHj6u2YIjRQp/dv1axfIlbR/4wbETpzUEGb4dnSmx+FoINMBvXr70vjdE3Ng+95WQ7sH02Ys02zikhEVLFiukts/6tGSD7s+B3dUAb6du/e/ZOgwSdlXrR04cM8TF+uHSTi2dP+X4gc1NG9Wxe+rAQZ+JFcmSJpLfp86cVw8zZfis8xMpYgTV4J6zXZ928ZJPECRr5gx2L5gzR1bNMGoBfFG5MsV2blp66fReu7WOJABx5txFSaRLm1pt2b33gGa7wsLuFbJkTq8SasChe+fW+3eumTVllF22w0dPqoSasPDg4SP1MG/u7zXbxKI16zav37Rd4hpx48RKmCDeFy//Mfl57Lx/796uc1/NtkajmSmOJqub+WqOICUgzbX5ff1XFxDImGx7xVlb2y6nNO/evRs7YXqr9j179x8ucSu7WVcBKVcm9z1mu01Yxgxp7Rr8TBl8+pMXL13VEDS4ODpTYvG1sJYy/GDW3MVqqYVMGX1ahMNHT6hJUDV+/UV+R48etXyZ4itWb5g1Z1HXjn8Y2xEZ8h03amCt+i0l3aPPkKYN60ya5j0e26xx3R/z5NT87uatO2ptWwmgqj7e06fP1FOON7OMabs3lZpO9vTZc7UxWlT766CiRvWOd0j4w8vLy083CATsDB42ViXy/JBDs11LqR7qcwV1UaP4lMOHj56kSJ7U6au5u3v07j9Ms50opE+XRrNFFtRTYcOGKV62uhq5VaQOjhjSK2pUV5f5+fvzzF2wTFX5gX27yFtrXxLA6uZYzRGkBKT8mNz3vbu72ui/uonAzbHtFSdPe4eo5HQoe57PlseLHy/OlPHD1HyZgLT55vd9YjvtiR7d/u6bkT7dJlw/UiDQc3F0psTia+G8Dc7t3L0/RAifCS/v3r+/d+/hlu271VoMom6tX1Vi7oLlmu0AXLigzySo6lUrSKBBmrMVqzZI2viaZUoV/aVcSYmhLlm+dsOm7Zrt0tmuHf7Q/O7Zs+dVajZSaf36yVevXmu2UK5j/ui2ueWv39iWcvgUwXXsienno2/fvVfzLwB/mDlnkbquoVaNyirA/+bTbZyiR3M8DPtM53n79p3TV/vw4UOLNl3V/Ihhg3up+J1+HUGpCrXk3EKK63dpUp2/cMm76q3ecO7CpV2bl4cOHcq3T+jvzzNp2hzNdnZS1OWdJnQBqW5OqzmClICUH5P7vtVPkf1eNxG4OW17hT67W538JE2S6MixkzKiK4MZJcvXPLJvQ/JkSQLS5pvf9/mLl/I7dqwYdtmCBw8un00OB0JD0ODi6EyJxddCoAHOVazmfFK0NASjR/RXKzVIiyAdKs02nUGPnv78U56YMaLLSNHEqXPsAg2abcG8TVt2yI5qZsS0CcP8cSebJ0+eVa7ZUC0D8efA7np41dPTe5lJp8Oe4cN7n4a6v/ceufLy+qA2Oo7Hhvt0GuHp4aEB/jJ/0YpW7XtqtphX3x7t1Ua91IUOZd/5Dx/ep9S5Oyt1np6eHbr2W7R0tWa7TEMtgyIePHqsEhJlaNW8Qef2LSSs4D34NmD4uIkzpHaMnTi9dYuGmi/893kOHz2h6l2TBrVNTvnxd3XzrZojSAlIc21yX3/XTQRuvrW9Hz9+vHXLe+WdTBnTLZk3KVZMny7T0hVr6zdpJ4n2XfounT8lIOXK/L7qtMcxm2ZbxlJOtDxYXiRocHF0psTiKyLQAFOky5QsaeKMGb5r3rhu7Fgx1cY16zarRKRIEdfbZigoqVImk0DDyVNnj584o1+dpcSIEW3UsL71GrfVHNaqOX32wnKHZb0qlCuZ4dNkReXa9ZsVqtZT13p16fBH/TrV9aeiRfMepNKH</t>
  </si>
  <si>
    <t>p4xevPSOoUorJr+jRImkNrq5vdU+D6qqORGa4TQUME8O50NHThgw5C/NNqqweulMVeQ077LnMy3QzWFA4OWnUhchvH2pk+B+/cZtN2zeIemihX6a8Ndg/amwn64Pku09u7ZRaYk1SGjj4KFjcs4xd8FyCTT4Vq2SJ0vsj88zZ77PstJqeSejdRu3HTl6wm5jy+YN/FfdXFRzBCkBaa5N7hv6U1XyU11A4Oai7Q0WLNil03ufP38hJcd4fWjF8qW2bt8jgeZtO/bK4K3/2nzF/L4xY0STWPMbNyenPWpFrQjhmZsZJLg4OlNi8RURaIBzD26cDB48mEpLcFTaKcc8s+YuVgnpXDl9kRlzFo3M3NtuY5rUKVUi3XepjNsvXLw8/K9JdpnTpU1tDDRI96lCld/VbIghA7o1qFvDmDmObYlKtRCDnadPvS/WjWLr9cX+tJKlNLuJEyUwZnv2/IVKOK7yALjm4eHRpmNvteBz+rSpF8+bbFx7WY7ualrgC9uh1OiFbSah5r1qaUTj9oePHv9aq8mx494zHqtWKjtqaF9jsYwXN45KVK1c1rhX8ODBq1QqoxZPeffuvYtq5dfPI6cL+gymGDHsL7Dcsm3X9FkL7TbWrfWrP6qb62qOICUgzbX5ff1aFxC4uW57FaeL4BT6+UfptkniyrUb/mhjdeaPF+pAoJdnnaenp2pCI0ei6AZ+ro/OCiUWXwWBBjgXIkRw11OjL12+9veBI5ptsoM+EUunrhWXhq9X1zauF6XTRYkcWV/S2bhRT8uQaY06zVR67vQxJYsXssscN47PaaX0r+zmyj60zTOPZ7viI86nGRmOLZ1aPMzpKg+AC69ev6nToKUMC0i6YIG80yeNdDxYJkgQ78LFK88+LVCn07fEMly1KPWrfJW6KmrW5o+G3Tq1sgv2xYntU4zDO4T/Y8f0eer1mzcuqpWfPo9YuXqDStSrXU1zIGcPjm8kZ+dxwvqtun2xmiNICUhzbX5fv9YFBGJfbHtdiBzJZxKNp4f39O+AlCuT+6qzmsePn9hle/6pdxf705ECgZjro7MLlFj827i9Jfxp0dJVKrFi0bTNaxfY/Qz8tHLb4uVrTL5g4YL59u9cY/cjG9WzevcjZozoW9cvctr9SBA/rkrs23/YuP3e/Yfq0rXsWTNpn66wELv27Ld7hU1bdsrvH3Jm0wDT3N6+rV67qYoy1K1VdcGs8U5D8imSJZHfG7fssNu+c7d3OZSCrRfgq9dulCxfU53pjhnRv3vn1o5nuvE/ZT796a6uujt372m2azfkNV1UK/OfR9m6Y49m65tlzWJ/s0DRvnUTxzeSEKSfqpuZao4gJSDNtfl9/VoXEFiZaXv3HzyaI2+JRCmzH7XdqO+z3a/fVAl1bVpAypXJfRMnjC+/Dxw69vzzaNqefQdVIkum9BoCO9dHZ0osviICDfAPT0/PGbO9p2nl+j5r0iRObm5ftlRRlZg4Zc7Hjx+1gLl1+67qfkjfadOa+dmyZHSaLVPGdGpMVQ+CKHqsV93CJ3jw4I3q1dS8L/1Y4uXlpWc7cfKMujPQT/lya4Bp/QaOVMfIjm2bDR/cK1Qo5/d6+LVyOc37JtKnVTFT3r93n7/I+9YtRQv/pLZI5apV74/HT55KetGcierGsY7ksF28SAFJLFi8Ur8GUu0+a94SSRTIn0dzyeTn0e3dd0gz3BPbJPPVzWQ1R5ASkOba/L5+rQsIlEy2vYkTJZBy8vqN29IVny1/8/btu/GTZmq2S+fU6jwBKVcm9y1XxuduhWs3bDXuvti2hqW0pclt3T8Ebq6PzpRYfEUEGuAf23fuUwdj347E0mapp6TFsZtf4A9de/msw9Tg9xrXrt+SoWO7H3Vll4w8tGreQBILl6yaMmOe2mXHrn2dewzUbDfX1NuvhrazT/kTmrbs7O7uvRDuzVt3ajdopdn6bxXKltAAc06eOjt+8izNdoDMmSOrY+GUDCpniWIF1e1aatRtru4U7fb27e+NWqvS26RhbZVt+uyF6m5qJYsVDBEihOMLSodc5WzXuolmq2INmrR78sT73tRyUO/QtZ+av1O+THHXn9zk51FkiE9V+XTfpdb8yGR1M1nNEdSYb65btOnWoGm7sROm+3VfP9UFBFYm214pKmrQYtzEGXKyofZ99ux5/SZt1fq1fXp0UBvNlyvp70nRbd66q77F5L7x4sZW51qduvWXUWLNtibxiNGT1m3cJulWLRqYv+4D/1FfPDpTYvEVBQv4aPM35e4j76k48WOZWhQAjgYPGzto6BhJPL592sUaDbXqt1y9dpMkrp3b79sSDH8fOFKyvPdJXqUKpSaPG6pvlwP5jwW9A5+zpowq82nigwt6fhd2bFyS2TbbSjpaRctUU107OY+MECG8akYlvW3D4kS2KVuKtHETp85RaYnmqtMLsXjuJP16DfhDUKuDdRu2XvFpyoxTcs46d8ZYlZackl+ljaWufesmXTr8odmOuIlT5XDdox7Yp3PjBrVUukffP0ePm6a/oJR2ta8xjwtf/Dy6o8dPFSpRRTNdbe18sbr5qZoHBRzLjEw219HipdU+r3Hm9zVfF4KswF0m/dT23r5zL/dPpVVm6VzFiRNLrRyp2W6n1bFtM30Xk+Wq5u8t1q7fIoln9875dd9Ll68VLF5JfZgUyZO+ePFSdTvz5c0lhTxwr2xNO6mZOzpTYv8TAmV5ZkYD/Ozly1cqylCuTDEXCz3+kDObWmpryfK1+qqzmvd0HHFRtAAAEABJREFU1mCfEqaK3/kLl76YR4+ASgu1fuWcWjUqa7ZRLBVlKFgg77oVc4xRBjGoX9chA7pFjOC9kJ5qDaW9Wzp/ClEG+Mm5L5XPYIZyXr5M8TXLZql6oUqdlEA5ee3cvoXKIIX2i+P2wQ0RwD7d28+YNFINI8gLyr6ZMqYb3L+bmSiDmc+je/7cpwqnTpVC87svVjc/VXMENSaba5Uh2OdHFpP7mq8LCJT81PYmTBDv</t>
  </si>
  <si>
    <t>751rZBBFs40nqz6blKu508cY+2ya6XIVMqSTcR2T+6ZKmWzfjtVqyPrK1euqz9agbo0500Zz/6ygwMzRmRKLr4UZDQicPDw8Lly6+uaNW9IkCeN8usmZIyn/EoyQZlda4QTx47q+0QbMoA6a8ejxEwnqx4geTQ7JdndI8R85VMsLyvE7Zozomt9Z/nmcorqZRz1yFJDyY37f/09d+C+iTDpye/v22vVbr1+/+S51iihRIrvIGZByZXJfCZScO38xTOjQSZMkUpfcB3qUSb+ixH7LAmV5JtAAwErUQSDgqEf41lAm8a2hTCIw4dIJAAAAAAAAVw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CbYx48ftUDk7qMXr9zeRwofRgPwNbx6804LFow6CAQE9QjfGsokvjWUSQQmUp4jRQgbP1YULRBhRgMAAAAAALBMSC3QkdBmIIsGAf8hd22/qYNAQFCP8K2hTOJbQ5lEYHJXC4SY0Q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CZkBpgwhs3t7Xrt548fe72nbsfPnxMnjTxd2lSlitdLFy4sMZst27f3bB5uyRy58yeIf13Tl9q1tzF793dc2bPkjlTes2E6zduHT1+6uatO8mSJM6RPXOC+HF9y3ns+OnTZ88/e/4iU4a0WTNniBIlstNsN27ePnDo2J2791ImT5o9W+b48eJoQIC9fPnq8NGT167flMoiFSRd2tTJkyVxmtNkCbx9557UuOvXb4YIGTJFsiRSpGPEiOY059Onz0+dOXf6zPlw4cKlSpkszw85QoQIoZnm+vNcuXr9+YuXLnaPFTNG4kQJNBNM1lDJdu7CpUePn2RMnzZ71oy+ZUNQY7L8BGRfjg4w2vv3oT37DlaqUCpF8qSOz3p6eh46ckLa/PsPHiVMEC91yuSZM6ULFiyYMY+7u8fZcxedvnjUqJGTJkmkfYnJMvnixcvdew9cu35LDhPZs2aSA0Hw4AwlBhVSFC9duXby1Ll79x9IocqRLbMUSKfZKLH4PyPQgC/w8vIaOWZKv0EjHZ/q3ntIv14dq1Yqq2+5cPFKhy79JCEty4Hd6yJGCO+4V8t2PeR3z65tvhho8PDw6Nlv2PhJM40bC+TPM3PyyMiRIxk3Pn/+olHzjpu27jRu/GtY39+qVzJu+fjxY+/+w0eNnWLcWLNaxRFDeoUMSV2A/82Yvah778Gv37gZNzaoW6Nbp5bGsmqyBLq9fdt/8F/jJs6we5fB/bvVr1PN7mA8efpcVel0mTKmmzB6UNo0qbQvMfN5OnTtt23HXhcvIvlHD++nuWSyht67//CPtt22bNtt3NiyWf0eXVpzChKUmSw/AdmXowPsSLiz9C+1JCHnKo6BBolBtO3UW855jBvz5c0lBcaY+eTps0VK/er09UsWKzh3xljNd+bL5LKV61q27W48AMlRYOn8yTFjRNcQ2MkIX+0GLSWWatzYqV3zDm2aGoMIlFh8FSF69eqlBSKv3N7L70gRwmqwwtu376rVbjpzzmL1sEypoqWKF8qdK3v48GElDCndoTXrtyRKGF/GiFSGq9duLl62WhKvXr958/pNkUL5HV9z8DDvdqpA/tw/5Mzu+t279hw0YcpsSUjAonLFMu7u7k+ePLt+49a2nXt/KVsibNgwKpvEaKv+1mT7rn2SLlrop0I///j8xatnz56v37RdxlqzZclofOthoyZqthbtl/IlQ4UMqQaNL16+Wr5McQ1WCIJ1cOGSVS3adHX38JBjZNXKZfPmzun2xk0G5I8eP3Xx0pWK5UvpOU2WwDYde0+dMV8SaVKnqFKxbOaM6W7duivVbcu2XdGiRsmRPbOes0vPQQOHjJaEvHWNX39JnCjB+YuXHzx8tH7jthpVK4QN+4X/gpnPs2jpKqnsLl7kh5zZnNZ0nckaKq1Nxer19/19WNJJEicsV7rYnbv35a8+cOioJEoWL6QFJRzLdOZb+IDsy9Hhi4JUmXz46HH5yr+/sE3mqlShdMoUSY3PXrx0tWDxynJCYnu2VNHCBSJGjCDnPzdv3ZGTopq//qKfn0jYdMOm7U7fQoZwjUcHRybLpASCa9RtLgcgGeCpUqlswgTx5bgjR4F1G7bJJ7ebdhrI0E5euXo9X6HyUvAkXbBA3uJFCz569ETK7Z59B9VMAZWNEvufECjLczCJP2mByN1HL+R3/FhRNFiha6/Balj1xzw5J44ZYpwBdeTYyfKV66p45N87V3+XOqVma6Eq12io51m9dKbsaPea0eJ5RyV6dm3TqnkDF28tgwl5CnjPlShXptj4UYNU0yM9usYtOkpiwujB+kyKFas31G3YWhIyrCqhU83WY/m9UesNm3dIhOLCqT3hw4XTbBPRM+YoKInq</t>
  </si>
  <si>
    <t>VSuMGtpHhVeHjpzQf/AoSWxaM//77Fk0BFhQq4PSE06QPJskcmTLvHjuxKhRvf9wLy+vHn2HqrqzYPb4YoULaKZL4P6DR0uUq6HZJkQM6NNJZXv58tWvtZr8feCIpC+d3qui/teu38yWu5hmG2eYPW20GvPXq8PAPp0bN6jl4pOb/DzyB3q4ezj81e8Kl6xy994DaRN2bl7mehTCZA2dNnOBjLdIon+vjvLJ5c+RXmLHbv1lu2w8fmCzRB+0IINjmc5k+QnIvhwdzAg6ZdJuuHX+rPHFixQwZqhQtd6OXfukCG1et1Cd/IjVazfVqt9SEn80rde7ezu1sV3nPhI1luGZ+TPH2b1LqNChXBRdk2Xyw4cPOfOVkt5m+rSpVy2ZGT16VNkon00+oSR6dWvbsll9LfCinWzRptuc+UslsXntAjkJ0WxXOpepWPvY8dNSPq+dP6BKDiX2PyFQlmcmo8JXJ0+dVT0laZsmjf3T7jorCZTqc6jGT5rl9BUaNe/w6vUbzV9Wr92sEu1aNtYDnBXLl1RdGhna1XNOmOz97imSJ1XnkULyDxnQXRJyorB85Xq1ce6CZSrRrVMrfRJX25aNVO9FDSADfnX02CmVGNK/m4oyiBAhQvTq2kZdOnT4yAm10WQJ3Ln7b81W6Xp1b6tnixw50qC+XVT65KlzKqHqnVTMMSP661cWlCtdLE3qFJLYvnOf609u8vPIiUWUKJHtfgYM+UuiDPKsnIt8ca6jyRq6fJV3Ql7t99o+l4fIp2pcv5bxa0EQZLL8BGRfjg5Qnj17XqNOs3qN29pdB2cksdcdtjkyndu30PtsmpryWaKwJPbtP6xvPHrc+wAhXSzHVtRFn00zXSZl4Fr6bJJo37qp6rNptitMa9esIolJU+dIuFZDICV9exVl6Nezg4oyiAjhw7dp4T3gJ2X45GnvswVKLL4iAg3w1cKlq1Vi2sQR8eLGdsyQ/8cfcn2fVRqRUKHsL2Ft+Lv3kKx0RfoOGKH5S/kyxceOHDCgdyfjopLSeKVKmUwSb9+9V1vevXt/4NAxSdSq8dkFt4kSxpeIrGYbmlBb9v59SH4XLpjP+LcECxasWpXymm2uBK0b/OHJk2eZMqaT7nHGDJ+tfhoqVCh1fL11+67aYrIEuru7S6Tg5wI/2h3UpUirxN179zVbyZ88fa4kunZsGS1aVOMLrlg0/dThbdMnf6Hq+btGyCmLOrnp1K65/O0u38QPNbRLhz+GDOgmIyH6HE7jX/3uvbuGoMd8+QnIvhwdoJw9f2ndxm2SkHObvdtXOc1z58596dRJm/99Dvt5LmqpvOs3fK41k2KjrpzPnOkL7aQjk2Xy4OHjmi0wXaTwZ9evyaiMZjsHO3bitIZASoqBZovON2lY27i9eNGfD+5ed/n0vsy2AzQlFl8RSxzBV4tsTZh0llxcgL166UzpUDlub1T/t1Nnzv994Ij0hUqXLCwhCc2PUqdKLj92Gw8dOa5mjxcr/JPacvGSz8I2WTNnsMucM0dWyawP/+7ee0CzzW+3y5Yls8+alDdu3na6sjTgQrkyxeTHcbsEIM7Ylm5Olza12mKyBHbv3Fp+HF/w8NGTKqEmLDx4+Eg9zJv7e/l9/8Gjw0eOhwgZMkO6NHrn3DX/1Yj3793bde6r2VoGM1MczddQ6fup7p/R9FkLVOLn/Hk0BD3my09A9uXoAJ00sBJCLVOyiD6eYUdGOzavXeC4/ePHj/v2e/e19GJz5eoNlZA2eeacRefOX5I8MnYi47dfbKVNlsljtvHnjBnS2gWm9ZWzLl66yoU/gZUKEEhYIXjw4B4eHnLWfenytZQpkqb9LpUak1MosfiKCDTAubdv3z1+8lQS6T91k5xyGmXQbFPHx4zonz2P9+ovTf7otH/X2kgRI2j+JWPC23fu3bh5hxpqyJolQ2nbdC/x9NlzlYgW1f6ipqhRvW9gJn+Fl5fXe3ef4VB9ptY/2aL47Pjw0RNOJWEVteipyPNDDs02d1E99F8JdHf36N1/mGYbB0ifLo1miyyop8KGDVO8bHU1cquUL1N8xJBeUaO6uszP359n7oJlat7jwL5djFMPfGOyhtrdj/PkqbPbd+1bv3Gb+rsa1K1hPG1C0OG/8uOnfTk6QCexzn3bV/nvHjcr12xUo8H58/qMrJw5d0ElipauZpd5xJDedX6r4ttLmW+fnzx9Zstmf+fjSJEiqoR+pEDgo6Y3Jk+WePa8JRI+cbMAABAASURBVH+07a5v977eedzQEkV/dr07JRb/B1w6AecePX6iEulcBhpcSJ4syZAB3TTbVKhe/YZqATBx6pyW7XqoKIM0oEvnTdbnir/+tAaEY7dKP7mUcYk3n663jB7NsRH0uaG6xFY0wAoyFKCua6hVo7LP+kwBKIEfPnxo0aarmh8xbHAvNQ5w//5D9WypCrWkNy71Qt5IrQqxYvWG4uVquDus4Gjk788zadoczbYwRFGXd5rQmayhdk81bdm5V79hKspQsEDewf27agiS/Fd+/LQvRwfogttofnf8xBm17Kh0pRrYLh0Vp89c0DPImHDrFg1/KVdSPWzdoefSFWt9ezXzZfK57b4YsWPFsMsmf4U6HLi5+brYBP7rbtz0vtnEuIkzVZQhTeoUasLj6zdu1Ws3dVHANEos/l8INMC595+uiA4dOrTmX7/X+lXNhZ42c4FaisZ/wocLW6ZU0Xx5c2m2BvTn4pW37dirnvLy+qASjoOr4T7Ny/L08NCzhXaYghE+vE82dw9XHTPApPmLVrRq31OzXVzQt0d7tdHfJdDT07Nd5z6LbAumlCtTrErFMmr7g0ePVeLK1eutmje4cnb/5rUL5HfTRnVk44WLV8ZOnK75zn+f5/DRE+ou3E0a1HY6huzijVzXULun4sWLI1U+axbvGe9S2ctVrqumUSCo8V/58dO+HB0QQCdOnilT0WfZ2slj/9TL263b3v1A6T5tWbdw+cKpPbq0njph2O6tK1SHqlW7</t>
  </si>
  <si>
    <t>Hi9fvnL6gubLpKenl9Nsmm0JYfntwfIigZc6LD5+8lRONnZuWrp/5xr52bFxiVq7XQrY8+cvnO5IicX/DZdOwLlYMX1Wktcvc/UH6YqMHTlA3YGvWasuf+9cE/nT5Cjl1es3I0dPstsre9ZMJYsXMm7p0uEPlbh67UaVmo2lba1Yrf7JQ1sTJYwfJUok9ZSb21vt8wjpq1evVULOKUOH8QmXuDkMTL38lC1CeFcL6gJf9PHjx6EjJwwY8pdmG/NfvXSmOnBq3kdQn5LvpxL4xs2tfuO2GzbvkHTRQj9N+Guw/lTYT0Vatvfs2kalQ4cOJaGNg4eOSURg7oLlMhxx+uyF5Q6r5VUoVzJ5ssT++Dxz5vssK62WdzJat3HbkaMn7Da2bN7AZA2123HxXJ9mQd31avfeA1V/a3Jg1xqT0Q0EGv4rP37al6MDAmLz1l1VajZSaembqfCoMnnc0FHD+nq4e0T5NKgrMqRLM7h/NzkjklGTE6fOqhEUO+aPFzFjRJMzojdubx1fRPUJI4QPryGQkv6/uj3KlPFD9YWZM2dKP3p4fzlJlqd27t7vuIYUJRb/TwQa4Jzeypw6c95FNgmXPnr8NGWKpMGCBXOaIVnSxH8O7N6+c191AcXwwb2Mz0qzMvwv+0BD3VpV7QINuuTJkkwcM7hwyaqSXrl6Y/MmdWPHjqV/ksSJEhgzP/sUyg1jO49ULfILh3DsC9s8LhEpYkQN8C8PD482HXur2zGkT5t68bzJxrWXw4cL59cS+PDR419rNVGXUFatVHbU0L5hwvwzvSheXJ/bzVatXNa4V/DgwatUKiOBBjmWv3v3/sLFy45VLF3a1HLq4NfPI6cLM+cskkSNX3+JEcP+Asst23ZNn7XQbmPdWr+ar6FOFcifp2+PDt37DJE/5/jJMxKF1BCUBKT8cHTAv23W3MUt2/XQbEVI2vwfcmazy+B9pZtDIOynfLlV4vzFy067beaPF+pA8Mxh4NrT01N1Qe1GdxCYJE+e9OSps0kSJ7RbgrFggbyq/EgBK6d9FmigxOL/jEsn4JwEDtT9dS9cvPLOlytgxcgxU3LmK5k6448uJjb/XuvXH/Pk1LwXkF9odwGFDMCqi8qMP3oPStodfYEZXbYsGVXi+k3v5XbjxIqpHjo2W2olMHWLQZEgQTzNdpdsu2z6llgO14wBJr16/UaCAirKIMf4dSvnOt4R1k8l8NLlaz8Xq6SiDG3+aDj+r0F2vak4sX1KfniH8H/smD5PvX7zJkrkyI5VTDZqfq8RK1dvUIl6te2XidJsZw+ObySf2XwN1Wz3I/RwmKOe/0ef0xr9RqEIOvxUfvy9L0cH+NXHjx/7Dx6l+mzx48XZun6xY5/NN/q6d54evs4SN1km49kmyT/+tKiW7vmn3l3sT0cKBD7qThDqugY7ceJ4n4EYu/2UWHwVBBrgq1KfphXMnr/EaYY3bm5zF3hPpY4QIXyypIl9ex0ZYh09vJ9KN2ja3vhUrJgx1EVlxp/2rZvIUzV/bxErUcamLTvbvZq+xF0U26T0aNF81vTatWe/Xc5NW3bKb70lTZEsifzeuGWHXbadu713jBkjeoL4cTXA7yQcVr12U7VuSN1aVRfMGu80JG++BF69dqNk+Zp37z2Q9JgR/bt3bu04Yyj+p8ynHeYc3bl7T7OdSchrFi6Yz7GKyUbN7zVi6449mq1vZpxpqZNq6/hGUsFN1lD5DtNnKxAvWZZZc+1bm9efVpmK4bBONQI98y18QPbl6AC/6t1/+NCREzTb/fy2b1zieDduiT7/WLBcqgx5J0yeZffU9es3VSJlCl9vpmOyTCa2dTUPHDpmdzX+nn0HVSJLpvQaAik1UevMuYt2w4EfPnxQg3/6yJxGicVXQqABvipfprhaUaZP/+GHjhy3e1aCo3+06a5ugdmgbnXXCzUnTZJo6EDvMKrKb4ZqjFau3vjg4We3ulm+ar1K5LDdaFfet1G9mpr3fLAlXl5eerYTJ8+odlaf8fVr5XLyW4aIjZMv3r93n79ouSSKFv5JA/yl38CR6hjZsW2z4YN7+XbPV5Ml0NPTs1a9P1RNWTRnYo1ff3H6anLYLl6kgCQWLF6pXwOpdp81z7uvXiB/Hs0lv9aIvfs+u+G2SSZraPhw4dSYydyFy4zZxLyFy1Uifdo0GoIY8y18QPbl6AA/WbNu86ixUyQhQduVS6bHjuVkDDZSxAgSJJWWfP7ilZ6fr283btJMlciUMa1vb2GyTJYrU1wl1m7Yatx9sW39YDmFS27r/iFQqvKLz+LQS5avMW5fvXazSmTP6hNooMTiayHQAF+FCxd2+JBemm1EsWjpagOG/CUDrXK6Jg/3/n2oRLkay2yLzMnwZt3av37x1WSkV11AYVKFciVUon6TdmoCuVi3YWv7zn002/14fsrnc+PfhrZTSWkcm7bsrOY73Lx1p3aDVpqtM1ahrM/rlChWUMVNatRtru7TK4OovzdqrcZLmzSsrQF+d/LU2fG28L+Urpw5sm7bsdfuRzKonCZL4PTZC9WdLEsWKxgiRAjHF9SvIGhnm/sjB/UGTdo9eeJ9b2o5qHfo2k/dGKL8p8O5b/xUI+7ee6BiH+m+8/P9bk3W0BpVvUMqUtk7duuv/kY515ERGDVtqnbNKo436EZQYLL8iBZtujVo2m7shOl+3ZejA8yTUtG6Qy+VlkDw/gNH7ZpofQaNWjRXDgFdew5S9/aTNm3wsLELl6ySdLtWjeN8WkZk/KSZUnSbt/7nPr4my2S8uLFVMLpTt/7qfsAyCDRi9CR1O/BWLRr4tn4WAgGJ+xct5N2Bl6Zv/abtKpwq44LtbOfJcnKu5hpTYvEVBZN/sBaI3H3kPRUnfqwoGiyyZPlaaU18e1Y6/OtXzokV0+f61S3bdleu0VASxw9sdrx09vqNW1l/KKrSPbu2adW8gebSnyPGqwX8NduEbQ8PDzWZPGKE8OtXzcuQ7p/hTWmwJk6do9Lp06ZW/TTN</t>
  </si>
  <si>
    <t>tna9miWurFi9Qd032C5b+9ZN9BtbIICCWh2UErXi0+IFTkm8YO6MsSr9xRIoDXLiVDn0iwWcGtinc+MGPjem6tH3z9HjpukveOPmbbWvMY8L5mvE0eOnCpWoIolZU0aVKVVU8yMzNVROkipVb6gv42L8c9KkTrFl3SKnV6IGVhzLjEy28NHieY+2GWucxtHBOkGtTErjkyil9/25588ar6aPKVNnzFcdORee3Tun2VYILlOxtupNSfOVPl2aM2cvqDZNXnDy+GF6m1bz9xZr12/Rd1RMlslLl68VLF5Jvayckr148VIFhfPlzSWF3MVSu4EA7eT5i5cr/lpfPzdOkCCeGmmQc+bNaxeok3NK7H9FoCzPzGjAF1SqUGr31hU1q1W02y7DQYP7d9uzdYUeZdBsU1XtEkZJkyQaNqiniwx2pG2aMWmkvJGkpcuhWtJfypU8tHeDMcogBvXrOmRAN9UCqqZNGq+l86cYzyM12xjvmmWzVAREZZNdpEvWuX0LDfCXcxcuuc4QzFDUv1gC5XDrOsogghtu8dine3upI2oYQV5Q9s2UMZ1UTDNRBs0vNeL5c5+FmlKnSqH5nZkaGiJEiPkzx3Xr1Eo9VH+OJDq1a75j49IgFWWAHZMtvMoQ7PODC0cH+I8+sGo3wnrm3AXNnFChQi1bOFVaMM0WtpD+m/yWUxrZMmf6GGObFjKkkxv3miyTqVIm27djde5c3jGRK1evf7qgtcacaaODcp8tiPgudcrdW1aoe1hK6ZIogxQSKTkrFk3TT84psfiKmNEAs9zdPR48fHT/wcNgwYJJyED1//8PpIjeuXtfAg3RokVNnjRx2LBhXORU8YiECeIliB83RIgQvuV89PiJhFRjRI8mDaKLF4Q/UAfNsLwEyqFaXlCO3/6rmP+fGmGyhsqgyvUbt6WpkWyJEyVwUZEDMeqRI/MtfED25ejgG8qkv3l6et68defe/YfJkyVxvCHRF5ksk9InPHf+YpjQoeUMLbJttexAjzKpkzJ24dJVTw+P9OnShAwZUgsYSuxXESjLM4EGAFaiDgIBRz3Ct4YyiW8NZRKBCZdOAAAAAAAAuEKg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LBPn78qAUidx+9eOX2PlL4MBqAr+HVm3dasGDUQSAgqEf41lAm8a2hTCIwkfIcKULY+LGiaIEIMxoAAAAAAIBlQmqBjoQ2A1k0CPgPuWv7TR0EAoJ6hG8NZRLfGsokApO7WiDEjAYAAAAAAGAZAg0AAAAAAMAyBBoAAAAAAIBlCDQAAAAAAADLEGgAAAAAAACWIdAAAAAAAAAsQ6ABAAAAAABYhkADAAAAAACwDIEGAAAAAABgGQINAAAAAADAMgQaAAAAAACAZQg0AAAAAAAAyxBnw187AAAQAElEQVRoAAAAAAAAliHQAAAAAAAALEOgAQAAAAAAWIZAAwAAAAAAsAyBBgAAAAAAYBkCDQAAAAAAwDIEGgAAAAAAgGUINAAAAAAAAMsQaAAAAAAAAJYh0AAAAAAAACxDoAEAAAAAAFiGQAMAAAAAALAMgQYAAAAAAGAZAg0AAAAAAMAyBBoAAAAAAIBlCDQAAAAAAADLhNQQZOzZd/DchUt2G6NEjpw6ZfIUKZJGihjBxb7Pn784evz0mbMXzpy78OLFy8SJEqRKlbx8meIxY0Q3Zrt1++6Gzds1EzJlSJfr+6xPnjxbtmqdPCxWuIC8pmO2jx8/Tp05X35ny5Ixe9ZMmh/NW7j8jZtb2VJF48SO5fjsseOnT589/+z5i0wZ0mbNnCFKlMhOX+TGzdsHDh27c/deyuRJs2fLHD9eHA1w8PLlq8NHT167flOKXPKkidOlTZ08WRKnOU2WqNt37p08fe769ZshQoZMkSyJFNEYMaI5zfn06fNTZ86dPnM+XLhwqVImy/NDjhAhQmimuf48V65ef/7ipYvdY8WM4bTyOjJZ43TS1CxatjpYsGD161TXENjt/fuQHKQqVSiVInlSx2c9PT0PHTkh9ev+g0cJE8STw1bmTOmkbDjmDEiLbXJfKZm79x64dv2WVEk5MEmlCx6cYZugwnW7FJCyYX5fv7alCJT8cXT+Yslxd/c4e+6i01eLGjVy0iSJtC+hFYURgYYgZNnKddNnLfTt2XJlio0bNTB8uHCOT23YvKNBk7av37jZbW/fuW+DujV6dW+r73X2/MUOXfppJrRsVl8CDdISqfwJE8R32lf58OGDvIskOrVr7tdAw5z5S1u06abZghp2gQaJmzRq3nHT1p3GjX8N6/tb9UrGLRLg6N1/+KixU4wba1arOGJIr5AhqTv4x4zZi7r3HmxXR6R2dOvUMnLkSPoWkyXK7e3b/oP/Gjdxht27DO7frX6danYH48nT59pVukwZ000YPShtmlTal5j5PB269tu2Y6+LF5H8o4d/odabrHF2Onbrv3DJKk3T6tWu5rRLiUBDguClf6klicyZ0jsGGiQG0bZT7wsXrxg35subSwqqMXNAWmzz+8qRtGXb7sbKLjVu6fzJdmF3BFYu2qWAlA2T+/qvLUWg5Kejs8mSc/L02SKlfnX6aiWLFZw7Y6zmO1pROKKzFBSlSZ1CJTw9vSSm+PjJU0mvXL3x5q07KxfPME5tkEGktp36zJq7WD3MkS2zDCLFiB7t4qWrK1Zv0GydnAOHjy2Y</t>
  </si>
  <si>
    <t>NT5e3NjyMFLEiPqLK/qpod32OLFjav+mq9duqCiDI/mjfqv3hwydSbpooZ+SJkm4dcdeCQz/0ba7hHLr1amm5xw8bKxqMaUFzJv7++MnTv994IjEL169fj1j0kgNsJGTztYdekpCjpFlShUJHz78jp17z5y7KLVDQmnGA7PJEtWxa3/ZqNlqTcECP7q7u0v1lHrasWu/D15ejRvU0nN26Tlo/KSZ6q0rlC3x6PETqZgnT52tVK3B3m0ro0aN4vqTW1LCw4cL6zqD+RpnJCci6mwegd7DR4+r1Wrq27NyuFExCFGpQimJSsuI3JZtu2U0rGylOvu2r9IH5QJSnk3uK6f19Rq3lYQM05UoVvDhoyer126SGle8bI1Nq+dHjx5VQ6Dmol0KSNkwua//2lIEWfrR2XzJ8W06gxm0onAUTOJPWiBy99EL+R0/VhQNDtp07DV91kLpkFw6/VkE9OnT52069ZKejKSlLShXppj+lIzTqh6UjBqN/2vg99mz6E/JqaEER3fs2ifpAvnzSCTS6aynxi06ylFZWpMzR3c4Pisty09FK0pi3sxxJYr+7JjBy8srZsIMmm1GQ8e2zTRzpEktWqbaseOn1cMNq+bl+j6r/qz0xOo2bC0JCfRKqFUSb9+++71R6w2bd0SMEP7CqT1qgsbtO/cy5igoiepVK4wa2keFY4eOnNB/8ChJbFoz3/htQBfU6qDb27cJkmfTbGG4xXMnqr69lNsefYeqKQkLZo8vVriAZrpE7T94tES5GpptQsSAPp1UtpcvX/1aq4kcsyUt9VdF/a9dv5ktt3dtlXGG2dNGqwqoF++BfTobQxKOTH4e+QM93D0c/up3hUtWuXvvgVTtnZuXuR6FMFnj7D5b7p9K68MdT++eDWozGoJOPbIb2po/a3zxIgWMGSpUrScHGikqm9ct/C51SrVRTkxr1W8piT+a1uvdvZ0WsBbb5L4fPnzIma+UnJ2nT5t61ZKZ6oRYPpt8Qkn06ta2ZbP6WuDF+ZWLdikgZcP8vv5oSwO3IF4mzR+dzZecdp37TJ0xP3eu7PNnjrN75VChQ7koYLSiARcoyzPXw0CTej5x9BCVNs6qevLkWffegyWRJHHCXVuW2Z2lxY4Vc/rE4WraqrQRCxav1L4Zw0ZN1KMMjiZMnqXZQieqtRXhwoUdMqC7JOQEYvnK9Wrj3AXLVKJbp1b6pK+2LRvJtyEJaYg1QNOOHjulEkP6d9NnEIQIEaJX1zZy/Jb04SMn1EaTJWrn7r/lt+zbq3tbPVvkyJEG9e2i0idPnVOJ8ZO8S7KcTIwZ0V8P85UrXUzNHtq+c5/rT27y88iJhYwY2/0MGPKXnMfIs3Iu8sW5jiZrnE7CNE1bdna8VguBzLNnz2vUaSZDWy7+13ImrcLZndu30KMMokypoqVKFJbEvv2H1ZaAtNgm95XxQDk/lkT71k31YTeJs9euWUUSk6bOkRi3hkDKdbsUkLJhfl+/tqUI3Mwfnc2XnKPHvU9p5ITf8ZVdh7FoReEUgQZ4CxMmtAoZvHH75yA6YsxkdUwd3L+r0/ZFulVL509WvakpM+Zp34ZDR44PGjpGEhPHDHF89t279wcOHZNErRqfXZaWKGF8ieBqtuE1tWXv34fkd+GC+dRVIYoMX1SrUl6zzZanNYRmi8dlyphODucZM3xn3B4qVCh1fL11+67aYrJEubu7S6Tg5wI/2lU6KaIqcffefc1WkidPnyuJrh1bRosW1fiCKxZNP3V42/TJIzSX/F3CpeOnruzo1K65/O0u38QPNU4nAZTdew/IVzqoX1cNgdfZ85fWbdwmiVzfZ9273fl09Dt37ufIllkKw/c57OcjqGXJrt+4pR4GpMU2ue/Bw8c1WxCwSOH8xt0rli+peVfMB8dO+Brgxn+d63YpIGXD5L7+aEsR1Dg9OpsvOdLQqVG6zJnS+fGdaUXhHIEGeJP4ogoxFin4T80/cPCo/E6fNrWa+O2UdKV+yp9Hs61ke+Pmbe1re/X6TYOm7SXRrlXjPD/kcMxw8ZLPmhFZM2eweypnDu/LK/ThYjml0Gzz4e2yZcmcXiW+hb8XX125MsV2blp66fReu7WOJABxxnatY7q0qdUWkyWqe+fW+3eumTVllF22w0dPqoSasPDg4SP1MG/u7+X3/QeP1qzbvH7TdolrxI0TK2GCeF+cQ+u/Ev7+vXs72/qsUvfNTHE0X+OU02fOd+/jHSKUQGFMX+6ygUBDCvP0SSPWLp/t241LUqVMtnntAqlfdlPqPn78uG+/93mtXlwD0mKb3PeYbawvY4a0dpUrU4a0KnHx0lUNgdEX26WAlA2T+/q1LUVQ49vR2XzJuXL1hkpIDGLmnEWduvXv2LXf7HlL9PESF2hF4RSLQQY57969O3zUZy63nKu5ub2VJmbIcO/16iSmULJYQT3nedu9MNN+94W166XlWrt+iyQuXb6mhnD9YfuOvc+fv3Dc7tc1RLr0GChtmfwh7Vs3ffjosWOGp8+eq0Q0h3Xyokb1XlHs8ZOnXl5e793d1UbHZWmiRvHZ8eGjJ05vwwZotlWRVEIFvNzevlUP/Vei3N09evcfptnGAdKnS6PZIgvqqbBhwxQvW12NVyjlyxQfMaSX65Ug/f155i5YpoKSA/t2kbfWvsRkjVP345RPVb+p9/X2DerWKFgg79IVazUEXjKYtm/7Kv/d0mzlmo1q5C1/3h+0gNUv8/s+efrMls2+nxkpUkSV0GslAhMz7VJAyobJff3UliII8u3obL7knDl3QW0vWtp+YdERQ3rX+a2KL+9MKwpfEWgIcl6/cXN665r48eKsXzVPv+XEo8dP1HUTyZMlcf2CGdKnUQmnHXuT1CTwAJIRXTVnbPL4oaFDh3Ka5/XrNyrh2A3Tm+C3796/1RvNaI6Nps8K52/fvtMAZ2QoQBXpWjUqqwD/m09X9vqjRH348KFFm65qfsSwwb3UOMD9+w/Vs6Uq1JJzCwlAfJcmlQQHpdqu</t>
  </si>
  <si>
    <t>WL3h3IVLuzYv960WBOTzTJo2R7M1F0UL5ddMMFnj1BVY/QaOvHDxipyL9OreVkNg5++7ph8/cUYtbCZFpcHv3iunBqR+md9X3bI+dqwYdtnkD5ECLFXPzY2FRQIhM+1SQMqGyX391JYiCPLt6Gy+5Jw+c0F/qkD+PDKOKEN36sKK1h16RooUoWL5Uk7fmlYUvuHSCfi4e+/BH2266cGCR4+fqkS0L90hL14cn8uxArJ4m7QvMWNEd/pj8hXu3X/Y5I9Omm2x/bRpfJ2F4eX1QSUcB2PDfZrH5enhoWcLHcq+qxY+vE82dw8PDXAwf9GKVu2979WSJHHCvj3aq43+LlGenp7tOvdZtHS1ZrtMo0rFMmr7g09VVaIMrZo3uHJ2/+a1C+R300Z1NNttZcdOnK75zn+f5/DRE+qGtU0a1DY5bmayxmm2W16Nty1YNWnskKC2djrMO3HyTJmKPrdTmTz2T1WuAtJim9/X09PLaTbNtlyr/PZg4Z5Ax2S7FJCyYXJf820pgiAXR2fzJefW7Tua7YR8y7qFyxdO7dGl9dQJw3ZvXaGiV63a/Y+9+wCPougfOL6EIkV6B2mhSa+CiCgvIk1pghRBEDA0aaH33l+aIC1IlV6kI126Ir333oTQQgmQBPL/3U6y73GXHJtk/0ou38+T557J3uxm0ZnZ2d/MzvZ99OhxmH+dVhThYUZDjCPthfGmSRkpvXf/gYQYlq/6beacRTIQumvPX4f/2pQoYcIkobOY7vjec33AG/rytlpYEUrzfCaNcv16S+Xxk6fjJvg45ClWpGClCv9p491TIh1lSpds3qyhFr6kSROrhL//M+318338+IlKSMsb7514IdmcBsEehWZLlJB7IbwmODh41LgpQ0eO1/RRhdXLZqsLp2a7goZUqAiVKAnuf9+y0/pN2zT93ddTxo8wvoofWkRle79eHVU6Xry4Etr4a98h6XPMW7jcu23z4yfPLHdaIaxm9Sqe2TJH4nzmLghZVlot72Rv3YatB0KfyTK0b+Nlssbdu/egRZuumv5ygaKFC2hAWDZt2VGnYQuVln5wkcIhV4fI1a+I7psqZXKJ6z31f+Z8ENX/lkunBjdivl2KStkwua/JtlRDjOTi6my+5EybNOrH0YMCAwKThk5DEPnz5h4xpPcPHWx97CPHTko32/mv04oiPAQa6V3DaQAAEABJREFUYpz48eMbNz+aPpMqu2dWaTjSpkk9fNRPd+/dX7l6wzd1a6ZNk0plOHv+DeuyXL58VSXSpU2j/T+TZmjMeMdAQ5NGdSVcIsMOmu2dZ59v2rpDbb9zJ2TId/cf+x76+WXLkjlXTs80aVKrjQ8f+jksP/YgdJGId/RbODWJy88pfOunz/sSid99VwNCBQYGduw2QD28ky9PriXzp9mvvSxDYREtUXd879Zr1Eo9iF63drUfRw16JzS4INKnS6sSdb+uZr+Xh4dHndpVJdAg1/Lnz1+cOXveucrkzZNLug4RPR/pLsyeu1gSDep9ldJpObTNW3dIsNJhY5NG9UzWuHadekvjYzu393Nu2LxNbT8Q+urQDZu3x4plCyman+IE9zNn3pL2nftqeuMs9evDEkWNryJRvyKxr6p0D5yWEwoKClIT+owAPdxDz37DTLZLUSkbJvc133tBTOP66hyhkmObtuMUrvq0TCmVOH32fJiBBlpRhIdAA0J8Vb2KeiuktCOa/nK+cmVLy9379h17pG0Kb2E5GcJduWaDShcskEf7fyYDtmrJfXvSbJ0JXaW2a8/BznsNGmZ7z1+71s0G9OmcNnVIAMW5mVPr5RjrWWbMmP7M2QsPQhfRMRhbUkdhBgfczOMnT7/zaq+iXVJxZvqMc75YRqhEnTt/qUadJupt2B3bNe/dvUMs6dLaMUKBCZ3C/2lShXz15OnTpEmSOFcZ2ahFvISvXL1eJZo1dlwmStOrofMfkr5L2vimatyJkyGPhn7brJ3zwes3aiWfC3+Z7OINOHBjcqEZOnL8qHFTNH2u0PJFMyRq7JAnKi22yX3Tp7d1ke/edZzl9zC0J50mtFbCPZhvl6JSNkzua773gpjG9dU56iXHWKkxKDDc5xpoRREm1mhACOOxKGOF2Dq1bCOlEmIcOWZSeHtJlEEtd9+wfq1/4LHq1KlS/rl9jcNPF+9WKZInk96nw48x+ClxVvk1eXLbv0t9ih27/nQ4+MbN2+XTGCXLrq+CaQxiGLbvtO0oB8+YIZ0G6Ostf9O4tYoyNGlUd+GcyWGG5M2XqIuXrlSp0VBFGX4aO6RPD2+HKIPIEJr5+InTDl/duHlL0+/H5Jjly5VxrjKyUYt4Cd+ybZem90iM+er2pBo6/yGpsCZrXKb3MjhXYWNVM/UrMypjrAFDxqgoQ/GihX7fsNQ5yqBFrcU2uW/m9zLIp1zyHN6RtGvPXypRuGA+DW7EfLsUlbJhcl/zvRfENK6vziZLjoyXfFyues78pafoi5LYM2Yu58ieTQsHrSjCRKABNjJeNNlntkp/UCzkLbg1q1XOlyeXJCZPmzN/0XLnvfYdONxFf2evaNuqqfbvkSHfEwe3OfxIf1R9u3TBz/JrhzZemj6xvIW+iMOceUtfvnxpHOHI0RPqtUDGDLF6X1fXbK/8Pa62Ky9eBCxYbPtPUaH8pxqgGzxsnLpGduv0w5gR/ePGDftdDyZLVFBQUKNm7dR83cVzpzao91WYR5PLdqXPy0pi4ZKVxjOQavc5820lv+wnH2kuRbSE796zT7N7J7ZJJmvcgjmTnavwuFEDVebjB36XXz/+qISGmGfNuk0/TvxZEhIgW7l0ZprUYY93RaXFNrlv9aqVVGLt+i32uy/R12qVe843vqQJ0Yv5dikqZcPkvuZ7L4hpXF+dTZacxO8mkpFF6XssWLIy6PUVGSeF3iC4mLlMK4owEWiIcaQRkaFX42fdhq2z5y6uVvs79Wx5ds+sxYoWVDnjxYs75aeRKv1Dh55NmnvbFjt46Cfjt4eP</t>
  </si>
  <si>
    <t>nBg+6qcKX9ZXt0Ojh/cLc4jp7aRWi5Qzb92+R0CAbRXcq9duNPbqoOk3bxJeUdkqVyyXQZ/i1aBJG/VeX/mHN23hrZ4ia9W8sQZo2tFjJ9Wa5FJaShQvYl+51I9kUDlNlqiZvyxSb7KsUrFc7NixnQ947fpNlbOzt23irlzUvVp1vnfP9m5quah37TVYLT1dI/RyHp4IlfCbt26HPqucS4sgkzUOcCal0btrf5WWoNufew86VAdjjM58eZaoulfrzm28exlbTO6bPl0aFfjr3nuImsonMfqxE3zkMirpDm29nGceIYYwXzakAZfiJz+bt+6M6L60pXBm5upssuSohSSl09Kr33D1NkqJOIwYPXHR0lWS7tyhZdrQ5R5oRWESazTERLXqfx/m9ncTJZw/a6L9ExD58+beuXl53W9bSkO2YvX6FaGPgdmbMGZww/q1tOhDwqUS3J06fe7iZavlJ1+eXOq+TkweP9x4/U+cOHGGDOgu4RW5bctT+BP7bF28W8l/GQ3QtLETpqmE1JEwa5bEC+bNmqiZK1FyxR04ZIzaKNdddel1MGxgj5Zettf7FStSsG3rphMmzdi4ZXuO/B/JAa9cva4u6pLn89ffpO0sQiX879t3VCJP7hxaBJmscYCzRUtWqj60kLIaZp4Ht05pESnPu//cv/a3zZr+XJLaYn7f9j98v3L1eqlllap9I3F5P79H6vTKlC7Z6JuvNcRgJsuGbF+6fK2mN+DqKTbz+9KWwpmZq7PJktOxXfPft++W+3+fGfPmL1qeL2/uEyfPqE5Fpc/LttfnBSu0ojCJGQ0xSHhhQqnnZT/5aOiA7icObnOemJA/3/u7t64c1LerClUaJCohzdZfO9e5jjKo1/mGN5ncw8MjNGF9CNPFwYcP7jVyaG/1pKVqCuU/wrIFPxtXfUXGhNf8OidksTo9m+wit3A9urTVAN2pM+dcZ4jl8b9m9o0lSi636qLugofdK7IH9ukyy2ecqptyQNm3YIG8I4b0VpGINzJfwh8+DFmoKVfO7FrEmaxxDhjZiDmM/9UO/89PnDqjmWayPMeJEzvS++bMkW3PttWlShbT9MlEqn/s1aTB3BkTWPA/hgivXTJbNkJ3t2/JzZeryLWlcGMmr85mSo701X9dNL175zaaPptMIg7ymSplCtkyd+ZPxuokGq0oTIslA2iaG7npa1tcJEPqpBqsJkXF9+696zduBQQEyo1N+nRpwgsfRBfyL5IRYBmIfi9j+owZ0sWOHTu8nPIPP3f+UsoUyaUBZdDANeqgGZaXKLlUywHl+h25F0D+MyXcfI0D9SgqolKeTe4r/e9Tp8++Ey9e1iyZ7N8Y7cYokyZFpWyY3Je2VKFMRpTJkhMUFHT12o1bf9/xzJbF/kXdJtGKRo5blmcCDQCsRB0Eoo56hLcNZRJvG8ok3IlblmcenQ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CZWMHBwZobuenr99j/ReKE72gA/g2Pnz7XYsWiDgJRQT3C24YyibcNZRLuRMpz4kTxM6ROqrkRZjQAAAAAAADLxNHcjoQ23SwaBEQjN/VP6iAQFdQjvG0ok3jbUCbhTm5qbogZ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aJoyFmu3b95vpNv0uiVIli+fO9H2aeOfOWvAgIKFGscKGC+dSWGbMXvnz10vWRs2bO9Plnnzhv9717b+1vW85duHTj5q1Xr4Lz5cmV9/2cBQvkzZL5Pc20gIDAk6fOhvlVsmRJsmbJZL/Fz+/Rzt17L12+ljJl8mJFCubMkc3DI+wQ26HDx4+fPP3goV/B/HmKFMqfNGkSDTDn0aPH+w8evXT56lN/f8+smfPmyeWZLUuYOa9cvb533yEp/zk8sxYrWihD+rRhZrt+49bR46cuX74aO06c7NmySIGUAhxmzvv3Hx47cer4idMJEiSQ4v3Rh8Vjx46tmeb6fC5cvPzQ75GL3VOnSpk5U0bNhDfWrwjVa8QQJ0+fk1Jx7fqNDOnTlSpZLLzCZr6dj8q+XCNgLyrlweS+Jq8XiMmCgoKkU3302Klbf9+WC2XxooXey5jeRf4XLwIm+cxKmSJ5owZfO3wV9auwyRIblRYb0QiBhpjuzNkLXXsOloS0BXt3rns3UULnPO0795XPfr06GoGGTt0HvPHIX1Qu7xBoePjQr1vvIYuXrbbfuHrtRpXo3rlNp/Yt4sQxVSaPHj/5+Rf1wvyqSsVy82ZNNH79deW69p36PHnqb2yRoMayBdNSpUzhcG4t2nTbuGW7/cbxowd9+01tDXiTWb8s7jNghH0xE15NGvTu3j5JksTGluDg4AFDxvw48Wf7bA3r1xo7sr99yfd/9mzIiPGT</t>
  </si>
  <si>
    <t>ps5y+CsjhvT+/rv6DhfjaTPnqSpskBI+ZcLwPLlzam9i5ny69hq8ddtuFweR/BPGDNZcMlm/zNdrxAQSQZNrzYrV6+03SrUaPrinQy0w2c6HiWsEIiEq5cHkviavF4jhZLywsVd7iVvZb5QeddeOrWPFihXmLp17DJy7YJmM8zkHGqJyFTZfYqPSYiN6oalCiJu3bg8aOkbuZMzvIlGJjOEHTR3Gnc6eu1izblP5K+rXkh8UKZg/b4IE8WXMdtuOPbJl+KifNm/duXLpzIQJEmhvEl7A1YHcIDVr2UnTwyiVK5a743tP4hpHj52sVK3BxtULUqRIprJJMPjbZu127flL0hU++zRrlve2bNstA7ntOvWR4G6z7+prQPgWLV3l3bWfJOQaWfWLzxMmTLht++4Tp85KCECC+vYX5hGjJ6prsFxTS5f64PCR43/sPSDX+8dPnszyGWdk69ZriGyURO5c2cuV/TggIGDl6g13793v1mvwq5cvW3o1MnL27Dd8ss9s9adrVqvse/ee3JVJCa9d32v31pXJkiV1feYmz8e1hAniu85gvn6ZrNeICaRsVKnZUELhml4+P/6oxOXLV9dt2CrVKlWqFNKHNnKabOfDxDUCkRCV8mB+X0vaZ7g3KTllK9RSd+zlypbOnSvHuvVbrh5uC2gAABAASURBVFy9Lj1qab4kLOu8y8QpM1UHI0xRuQqbLLFRabER7cSS+JPmRm76+slnhtRJNZgj9/ZfN2hu/Lp62WzpzznkSZ4+j6bPaOjQxst+i3fb5n17emsmyOWzXKXaJ/T266vqVf47tI99U3LH9+4PHXrKmUh61LC+ZjptEo6dPmtBqZLFFsye5PBV3HhxVaji1atXJcp8Ia2wRG1XLZ2t/qIENWrWbSaJ/r07tf/he7WL3Js1aW77h8jArARfJfHs2fOmLbzXb9omwZQzx3aZiX1AiWl10P/Zs4yeRSVRvGihJfOmqnv7ly9f9h00Sk1JWPjL5Irly2r6oxAFipeTxDd1a/44aqAK8I8aN2XIiB8lsXHNgg+KFZbEn38drFzd1jmQLsLQgd1VtkePHtdr1Equ2ZI+d3y3ivpfuny1aKmKmj7O8MuMCWqM1yjMwwb2sA9JODN5PvIPDAwIdPpXPy9fpY7EDaWjsH3Tr65HIczXLzP1OobgWiYd1v6DR0tCGuo+PTqop4E2bN5W79tWkpg7Y8IXlctrEWnnnXGNiBDKpCEq5cHkvibb5xiOMtm2Y28VNdi0dqF0QiTx1N+/aq3Ghw4fl+J06fRe+6kEt+/4dus9RMYt1K/S7u3autLhgJG+CpsssVFpsd2eW5ZnnofBa1q06fr4yVPNahOnzlRRBmlBpk8Z7RCwTJM61aJfphQpnF/SY8ZPlXj/Gw948PAx+ZRmK2nSJA4/RjsoIwbSlkmii3dr4y+W/eSjxg3rSMJn+lzjD02ZNkc+s3tmVVd9kSBB/JFD+0hC4sTLV/6mAeE4eOiYSowc0tuYQSA3Rf17dVQPIu0/cERtnLfwV5Xo3b2Dce3v1L6FWp1ELu1qy/adf2j6dKH+fToZ2ZIkSTx8UE+VPnrslEpM9rGVW7nV/2nsEGMmefUvK+bOlV0Sv2/f4/rMTZ6PVCjnWjZ05Hg1O0n6Im+c62i+fpmp14ghfplv6z3LyJgRZRASs2va2Datt58eg9Ai0s474xqByIlKeTC5r8n2GTGZ3NurKMPgfl1VlEEkSpiwY1vb8KEUp6PHTxmZJcJV/KNKRpQhPJG+CpsssVFpsREdEWhAiOZNbYOo+gMUYzVLSfzy55nzJSHNTddOrcPMI7dJqmVMnPjdS5evuT6gNEPqabRCBfO6yPbX/sOafsP2efnXloqoVaOKpv9LDx2xHeT58xd79x2SRKMGrz0emem9DBLT1fRnyTQgHPfuPZB7IbnZLpD/tbVU48aNq66v167fVFt2/7FPPsuXK5M+XRojW6xYserXqaHpz1+o62tAQIBECv5T9mOHi7oUSJW4eetvTS+302bOk0Svbu2TJ09mf8AVi2ce27915rQ3VGST5+NMBh9U56Z75zbyb3f5RyJQv0zWa8QEAQGBqjNat1ZVh5VNP//sU02fMKxCXSbb+TBxjUAkRKU8mN830u0zYg4pBpr+4GSr5o3tt1eq8J+/dq47f3xPIbsLtNzqqycsRg3r6922eZgHjMpV2GSJjUqLjeiINRoQosX33x47cfqPvQfk7uXLKuU/+fhDzSIHDh1VPcKvv/rSRUC0csVypw7vSJc29ZuOJ13MKyoh1+bZcxefOn0uODg4f773JSZq3IxptiWdbXHZAvnzOPzRgvnzqMTZcxclanv23AX1a5FC+R3+UIniReQ/iDGADDirXrWi/DhvlwCEmsWTN08utWXn7r2a/oSFQ87ChULWWL1y9boMc/Xp4S0/zgfcf/CoSqgJC7fv+KpfS5f6QD7/vu27/8Dh2HHi5M+b274WuGDyfBy+ffEioHOPQZoeNzQzxdF8/TJZrxET3L13XyUyZEjn8FXidxOphMQaMqRPa7KdD/OvcI1AJESlPJjfN3LtM2KUy1dsw3ISVpCxusDAQOnDnzt/KUf2rHnez5kzRzaHzHHixPFq0qBt66ZyPR00LOxxiKhchU2W2Ki02IiOCDQghIwa/TR2SLGPKkm6Vbvuf+5Ya/TnwuN79540amF+5eERyzNbFrXgrTRVamP+vO9rLk/ATJRBnDh1RiUqfOm4msPYkQO++7aOSt+7/0A+U6RwfCNg4sTvqoTcm8nn/QcP1a/JnVbOS5bM9rop6fK+fPkyQu8L1BDjjRgdsgbkRx8W1/SVDtSvzgsdJUsaUvDu+N4Lr+MoA7wDhtjmiss4QL68ubXQ0ivix3+nUrVv1CiZUqNqpbEj+7teCTLS5zNv4a9qqHnYoJ7yp7U3MV+/TNZrxARpUqdUCdWTtnf9xi2V8NPfumqynQ8T1whEQlTKg8l9XwQEqI2Ru14ghlDTGz2z</t>
  </si>
  <si>
    <t>Zf5l/tJ2nfoY26Wf4DNpVOUK/7HPvGTe1De+rCTSV2HzPYqotNiIjgg04H8kNDByaO+uPQffvHW7/+BRo4f3c51/7oJlLpauvXJ2XxK94bj19x21xRjaNcjoqKa/EUf9qhLx4sV13WM7fuKMkZY4q4wMSKBUTTj07tovceJEtWp8IemHejfU6LAaJPQrrfCTp/5Cfn0SuiaF842Z0RV49vxFmC/+BMIkQwHquYZGDb4OWZ8p9DVOKZI7X4ZDXp/+7NnzMI/26tWrth17qfkRo0f0V+MAf4dWqy9qNpI7fymf7+fOefrMOSnYK1avP3Xm3I5Ny6UqaeGI9Pn4zJir6QtDVHj95bXhMV+/TNZrxATSIS5YIO/RYycnTpnVtHH9JKF9ULkHm6S/ZkU8evxEM93Oh4lrBCIhKuXB5L7PjNu2iF8vEHNcuXpDPidNna2mgKnZjmfOXpC265vGrX+ePMr+omnmlaiRvgqb71FEpcVGdMQaDXhN00b11IOCM2YvVG+djDq/R49VwghYGtJlLSQ/6bMVVj8ZPIvIjzEUHJ5r121tqzRJm9ctWr5oet+e3tOnjN65ZYW6rnfo3PeR/heDgl7KZ7y4YdxrJUmSWD4D9QfGXr58pTY6D88mCJ3ZFRQYqAHmLFi8okMXW5AuS+b3BvXtojYaxcy5QCZMGFLMAsIqZkFBQZ17DFy8bLWmP6ZRp1ZVtf22712VkChDhzZeF07+uWntQvls3eI7Te9qTJw6Uwtf5M5n/8Ej6nWDrbwamxy/NV+/TNZrxBDebW0vOZIOdNVajfcdOCyd1LPnLjZs0kaiDyqDmjFnsp0PE9cIREJUyoPJfSN9vUCMomYXSiMpnY3tG5f9uX2N/GzbsFRGAjT9ovnwoV+EDhjpq7D5EhuVFhvRETMa8Bq5eZg4bqh6Z94PHXr+sX1NEqfogKFJo7qd2rcM8yvpAho7GpHLk6fOmnk4Qsas5PP4yTPLnVZUqlm9Sv68uadNGvXj6EGBAYFJQwOlmu25jNwjhvSWc5aA6JFjJ8uULpkqZXJphZ/6P3P+E6qtTJTQ1nQmTZpYbfSXnK/HWB/rI2aaXQ8AcCE4OHjUuClDR47X9DH/1ctmqwunZruChlQHf6dhqEehxSxRQsdiJsH971t2Wr9pm6a/cX3K+BHGV/HfiacSsr1fr44qHS9eXAlt/LXvkEQE5i1c7t22eXj1yDNb5kicz9wFIctKq+Wd7K3bsPXAwSMOG9u38TJfv0zWaw1uxEU7X6NqpZVVN6xYvV4iC/bzeGW7bJSEusSYbOfDxDUCkRCV8mBy33ihzXuE2mfENGoKgCR+njzKWJi5UMF8E8YMqVX/e/lq+84/w1xDKjyRvgqb7+FEpcVGdESgAY6yZc3832F9uvQYpB6gGDOif3g5kyVNmtFppS5n6dOlVYnDR0+UK1va/qv1q+Ybz02IytUbGOkzZ8+PGe/jcKi8eXLl1x9Qt80ed7qQf1qmlEqcPntemkL1dx84BXRliFg1zaqfmiZNSOxDQr+ZM2W0z2ns+07oVR8IT2BgYMduA9TDRPny5Foyf5r92stSYlWfwM9pQEA9aq7ZVrl7Lah3x/duvUat1BLQdWtX+3HUIPtyaFSrul9Xs9/Lw8OjTu2qEmiQa/nz5y9c1KOIno90F2bPXSyJBvW+SpnS8QHLzVt3zJyzyGFjk0b1IlS/zNRrDW7EdTs/Y+qYj0oVHzdhmlpOWKpVjWqVpS6EBBr0KJ7Jdj5MXCMQCVEpD+b3jWj7jBjI0zOrxGGzZH7PYQlG6Wmr8iMXzepaBAINWmSvwuZ7OFFpsREdEWhAGJo2qrdy9YZde/6SO4dqX1TQokYthiecBzxLflDE/lcjOiuSJkminjezJxu18BmPZgQF2mZepdcnj929e88h28PQVi9NmlTymTZ1KvWrc8On1m1SLykEXHj85Ol3Xu23btut6df4mT7jnC+WGTOmP3P2woPQxcAMxpbUdk8tnjt/qUadJur+qmO75r27d1ATxQ1p04SU24RO4f80qUK+evL0qYt6FKHzESv1uzvRrLHjMlGa3ntw/kPSY04bP6r1y6Few524buelzHs1aSA/9+8/fBX8KlXKFLLxz78Oqm+zZsmkmW7nw8Q1ApEQlfJgft+Its+IgTK9l0ECDWGuBpI2bZonFy/7WfS8oZmrsMkSG5UWG9ERgQaEQQZFJ4wZXORDW4jBq3UXLWqkKZQI6M7de9dt2Lpo6SoZjzKzV/lyZeTHebvc0VWu9s3tO3c7tW/R0quR/VeXL19ViRzZbe/1yay/jGfvvkMydGC/8JIEUFSicEHbS3eSJw/5aseuP42orbJx83b5/LBEUQ0In/+zZ980bq3KVZNGdUcM7hU3rOcPs2fLIpfhDZu3dev0g/327Tv/1PRXYRvzgy5eulKlRkO1vNNPY4c0qPeV89GM1/4dP3G60udl7b+6cdO2LH+G9GnlmOHVowidj7Jl2y5N7wcXKZzf+WhdvFvJj/P2V69CHt10Xb/M12u4Exfl88jRExcuXcmYIb3Eo+1XMl+1ZoOml0/1ujWT7XyYuEYgEqJSHszvG9H2GTGQmhRz4tTZ589f2K/6IZddtXxD0cIFTB8sqldhkyU2Ki02oiMWg0TYZLBo1LC+mt37zKOiV7f2KtGybTeJNThnePbs+bifphnTGVxI/G4iySZntWDJyqDX14wxViMvWMD2Pt7qVSupX9eu32KfbYm+rp7chnlmy6LpUZUWzRpKYs68pWp5CMXWzdVbaofeAOBg8LBx6hop19cxI/qHGWUQ9b6uLp+HDh9X5Up58SJgweLlkqhQ/lO1RUp1o2btVL1bPHdqmFEGTb9sq/jCwiUrjWcg1e5z5i/V9CWjNZdMno9h9559mt07sU0yWb/M12vEEON++rlZy05NW3gHBPxv0TsZHPtFL961alRRW0y282HiGoFIiEp5ML9vRNtnxEB1vgpZHHrp8jX221ev3aQSxYpE</t>
  </si>
  <si>
    <t>INAQxauwyRIblRYb0RGBBoRLxmY//qiEiwznL17eum23i5/A0FWRZUiqZ9d2Ki2xhu+ad5g2c560R9eu35Tw53/HTi5eutKAIWNUBocHF52pheiOHjvZq99w9b4caRNHjJ6oQhidO7RMqz8qN0ZpAAAQAElEQVQGmT5dGnWT1r33EImeavpafWMn+KzbsFXSHdp6GXPRm+sXfmleW7fvoTq1V6/daOzVQdNv52pWq6wB4ZByOHnaHE2/QJYoXsS5FhiL5FeuWE6tBd2gSRv1pmj/Z8/kPkrF11o1b6yyzfxlkXqTZZWK5WLHju18QKk1KmdnfQaBXNS9WnW+d8/2bmq5qHftNVi9GKJG6OU8PCbPR7l567aKfeR9P5cWQSbrl8l6jRiioh5Hk4I3YfIM9ZJ2Sdeo20yVz3Y/fK+ymW/npeJ4te4sP5u37ozovlwjYM98eWjbsbcUuYlTZkZ03wi1z4iZJO5f4TPbDbwUs982/q5CV/sOHO7cY6AkihTOny1r5ggd0PxVeLLPbCnYbbx7GfuaLLHmW124h1j2S/G5gZu+tsfeMqROqsEc6XJ93aC5JA7v3eT8YOHlK9fUAxSiX6+OHdp4qXTy9KaGFk8f2WF/bzB77mL12r/wFC9aaOSQ3mFOzLYn8YuqtRqrFurdRAnz5c194uQZ1ZbJGO+0yaONJ9bOnb9UrlJt9VV2z6x+fo/UzVKZ0iWXzPOxX65Jmryp0+eqdL48udSdnpBs4c3sRZhiWh1s0tx7RejiBWGSeMG8WSFvbJWckl+l7YtZF+9WKhInDXLmnMVdT+0ZNrCHMa2x76D/Tpg0wzjglavX1b72eVx44/kYDh4+9lnlOpKY8/OPVSO+bouZ+mW+XscEXMukg1ut9nd/7D2gfpUG3Bgom+kz1j6OZrKdP37idJnyNbXXawfXCPMok/ZMlgfVWbK/Cpjf13z7HGNRJk+fPV+r3vdqOSe5RKqFEjT9IcdNaxemThX2Qh6Dho0dM95HCtWurSvtt5u/Cjds2nbtb5sl8eDWKWN3kyXWfKsb07hleWZGQ0zn4eHhkLCXNUum0cP7uchg8uBK44Z1Dv6xoWO75mpNL4OaBD5t0qgNq+e/Mcog4saN++ui6d07t9Fsy935S5son3IQ2TJ35k/2dyM5c2Tbs211qZLFNH3gV7VlXk0azJ0xwaEtGz6418ihvdW+qnGU5m/Zgp+JMsC1U2fOuc4Qy64WyN3Rml/nqIieKmZS5OS2p0eXtiqDFNE3PkDkETu2kR7Yp8ssn3FqGEEOKPsWLJB3xJDeZqIMZs7H8PBhyEJNuXJm1yLOTP0yX68RE8SJE2fujJ+aNKqrflVRBrlArFwy02G2jtl2PnSgzL4GcY1A5JgsDypDrNf7Qib3Nd8+I8Z6P1eOnZtXqHdYyhVTogxSSGzvAF48I7wog6a/yd72GcdxnT7zV+E4cWI7H9ZkiTXf6sINMKMB/4JXr1753r13+7bvU/9nObJnddEauiZDXlev3bj19x3PbFnsXyXoTNrKU6fPvhMvnoRO1EvRwiTVQcaEJTb8Xsb0GTOkix07toYIog6aIeVfgvopUySXS7L9Gk6RJpdqOaBcvx2ieP/W+YTJZP0yX6/dGPXI8Ojxk8uXrz57/iJzpozp0qZ2MbHWZDsflX1j8jWCMuksKuXB/L7/TPscHVEmDXLdPHPuYlBgYL68uePEiepK/1G8CpsssVFpsd2SW5ZnAg0ArEQdBKKOeoS3DWUSbxvKJNwJj04AAAAAAAC4Qq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rGCg4M1N3LT1++x/4vECd/RAPwbHj99rsWKRR0EooJ6hLcNZRJvG8ok3ImU58SJ4mdInVRzI8xoAAAAAAAAlomjuR0JbbpZNAiIRm7qn9RBICqoR3jbUCbxtqFMwp3c1NwQMxoAAAAAAIBlCDQAAAAAAADLEGgAAAAAAACWIdAAAAAAAAAsQ6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E0dDjLTnz/0nTp1R6a9rfpksWdIws128dGXLtl0q3eTbunHi2ArM4ydPFy5ZIYmyZT7KmSObff5Hjx7vP3j0+MnTx46fCgp6WSB/nnx5cxUqkC9d2tRhHj+i+cMTFBR07sKlo8dO3fr7dtYsmYoXLfRexvRh5jx0+Lj8uQcP/Qrmz1OkUP6kSZOEme3K1et79x26cfNWDs+sxYoWypA+rQa4pArzpctXn/r7e2bNnDdPLs9sWcLMabJ0Xb9x6+jxU5cvX40dJ072bFmkuKZMmTzMnPfvPzx24tTxE6cTJEggVfKjD4vHjh1bM831+Vy4ePmh3yMXu6dOlTJzpoyaCSZrn/+zZydPnZXq/Pz5c0/PrPLPSZL4XQ0xnsnyE5V9afkBRC8nTp0NDAh03h4nbpz8eXM7</t>
  </si>
  <si>
    <t>bHxjbyEgIFCuv2H+oWTJkkgHW3sTk62on9+jnbv3Xrp8TTo2xYoUlJPx8GDw2w0RaIihVq5e7zNjnkonSpjwm7o1w8zmM33u1OlzVbpu7eqqu3/v3v2uPQdLYvL44faBBgleNP6+/d17940tK1avV4lZPuOqV63ocPCI5g/Ptes3G3u1l36k/cbundt07dg6VqxYxpaHD/1atOm2cct2+2zjRw/69pva9luCg4MHDBnz48Sf7Tc2rF9r7Mj+Ks4COJv1y+I+A0Y8eepvv9GrSYPe3dsnSZLY2GKydMmd9pAR4ydNneXwV0YM6f39d/UdLsbTZs5T9dFQsEDeKROG58mdU3sTM+fTtdfgrdt2uziI5J8wZrDmksnaJ3b/sa/ety3t/0umSpli3H8HfFG5vIaYynz5ifS+tPwAoh0ZZvu4XPXwvn1w65T9r2Z6CzL09/kX9cI8WpWK5ebNmqiFz3wr+uvKde079bG/0MuZLFswTS73GtxL7P79+2tu5LH/C/lMnCi+Bpc2b91x4NAxlZZhw7q1qznnkfarWctOAYEhgVLvts3feSeeJGR4c+rPv0jiy8rl8+d7X327YfO2r+o2kxskSZf95KPPy31SskTRVCmSn794WdMjCNLKSOjUOHhE84dHhlvLfFbj6rUbki5XtnSlCuV8fe9JoHTXnr9UlNT4t9T9ttXvO/ZIusJnn372n48f+j1+8ODhbxt/l/HYooULGAccMXri6B+nanqr91WNKnHjxFEDy2fPX6xRtZKGN4mBdXDR0lVtO/aSmiLXyLpfVytdqoT/U3/fu/cOHj529tyFWjW+MHKaLF0duw2YPmuBJHLnyl6nVrVCBfJeu3ZTKotU2+TJkhYvVsjI2bPf8GEjJ2j63XiDel9lzpTx9Nnzt+/4/rZha4O6NePHf8P/BTPns3jZKhlzcHGQD0sU/fyzT1xkMF/7Vq3ZWKdhC/kv+W6ihDWqVZI24dCR4/IP/3XlbxXLl02fLo0WY3AtM5gvP1HZl5b/jSiTeNtQJs9fuPzzzPnhfStDbkbaZG9h89ad6zf+HubRZGTRvj/jzGQrKkMXDZq0kQt9hvRp69Su9l7GDNJTkjNZt35r7ZpfJkgQc/9vumV5jiXxJ82N3PT1k88MqZNqcKlbr8HGjAZx/vge51nZ23f+UaNOU+PXK2f3qRkNl69cK/JhBU2f0VDv65BIaqPv269eu1FuD35bNd9+spaEAL6q9/0FPXxw9dz+xO8milz+8LTt2HvugmWS2LR2YfGithuwp/7+VWs1PnT4uBz80um9KowqkYsmzb0lIUOvEl6VxLNnz5u28F6/aZtkO3NsV8IECTR9snqB4uUk8U3dmj+OGqj2HTVuypARP0pi45oFHxQrrMGlmFYH5TY4o2dRSUjxWzJvqnoK6eXLl30HjVJTEhb+MllukjXTpevPvw5Wrt5A0ydEDB3YXWV79OhxvUat/th7QNLnju9WUf9Ll68WLWWb+CPjDL/MmKBmOhhFfdjAHi29Grk4c5PnI/9A52mZ/s+el69S5+at29JR2L7pV9ejECZrn9wTFi9d+crV63LM3VtXqv+SRmvzxrEUN8O1zGCy/ERlX1p+MyiTeNtQJo0m7uyxXfHixrX/yiN2bKMLbb630LnHQBnnKFWy2ILZkxz+Vtx4cV00tiZb0VevXpUo84V08vPlybVq6ewUKZLJxm079tSs20wS/Xt3av/D91pM5ZblmedhYjTpaanE+k1hxC+Xr1qvmSNdN4kaSKJXt/YOj4RJ0HTaxP+q9LbtuyOXPzzSrqkow+B+XVWUQdOfBOnYtrkknjz1l0iq2jhl2hz5zO6ZVfU1hQRNRw7to7ItX/mb2jhv4a8q0bt7B2OiV6f2LbJkfk8SapAZsHcwdGbQyCG9jbVOYseO3b9XR1W/9h84ojaaLF0S4NP0utm/TycjW5IkiYcP6qnSR4+FlOrJPrZSLbflP40dYjxPUf3LirlzZZfE79v3uD5zk+cjHYukSZM4/AwdOV6iDPKt9EXeONfRZO1b89tmiTJIYta0ccZ/yaxZMrXSO0DrNmyV8I2GmMdk+YnKvrT8AKKjY3ovt2CBvKlTpXS4TNsP1JnvLRw8bOvSSFDA+brvIsqgmW5Fd+35Sw0ldvFuraIMmj6vuXHDOpr+vLYMOWhwIwQaYrS0adOo6Uy/rlzn8NWLFwHLlq+RRJNGdd94nOfPn6vExUtXnb8tXCifNCLly5UxHseKaP7wLFq6StOngbVq3th+e6UK//lr57rzx/cUKpBX/3Mv9u47JIlGDV57KDfTexkkaqvZ/fN3/7FPPuVP20/SjhUrVv06NdSfowWEg3v3Hsg1Xgphgfzv22+PGzeuur5eu35TbTFZugICAuTa/5+yHztc1KW4qsTNW39reqmeNtM2KUmidcmTJ7M/4IrFM4/t3zpz2ljNpUiXdhl8UAG+7p3bFNSrmAvma9+M2Qs1fTDEYfS4e5e2h/7cePn03gitcAn3YL78RGVfWn4A0ZEaTitetKCLPOZ7C9LQqfXOChV8w5XdmclW9K/9hzV9KOXz8q89cVmrRhXN1r25fejIcQ1uhCWOYrqvqldesXr91m277967bz8ylLM0JgAAEABJREFUuW3nHrnPlzul4kULzZyzyPVBpOUqUji/NE/SlpUsUUSipPbrvkhDs3zR9KjkD8/lK7ZHxyWsIAHawMDAYydOnzt/KUf2rHnez2m/SuXZcxdUokih/A5HKFG8yB97DxhDxDt379X0OfAO2ST2oRIy4iqDYxoQqnrVimEuXCoBiBP60s158+RSW0yWrj49vOXH+YD7Dx5VCTUEcfuOr/q1dKkP5PPv2777DxyOHce2yrQRknAtcqVdQpCdewyShDQOZqY4mq99apTjk48/1PRX2xw4eOTe/Qf58ubO4Zk1iYmVruGWzJefqOxLyw8gOvpTf6Ay7/u5Vq3ZKLfo9x88zJM7x4clihltlxaR3sKFi1dU</t>
  </si>
  <si>
    <t>QrbPnrv41OlzwcHB+fO9L4N/b+xXmGxFD+kzJgrkz+MwlFIwfx6VOHvuIo+quRMCDTHdZ+XKqMT6jb8bk0uFmlMqo4v2L25w4YcW333fqrMk5LND575VKn0mDdOHJYpmy5rZkvxhUkO7ntky/zJ/abtOfYztEiv1mTSqcoX/qF+l5VWJ5E5v8UyWzPaSMwmyvHz58kVAgNpozOb6X7akITve8b1HdxNmjBgdsqCAWtNUrXuqRbZ0BQQEDhgyWtPLdj79aSPpK6iv4sd/p1K1b9TIrVKjaqWxI/uH985aJdLnM2/hryoiMGxQT/nT2puYrH2aPpQhn+9lTN+xW3/74Ga+PLl+njL6/Vw5NMQ8JstPmLNdaPkBuDG5aKqZv517DHT4qkWzhn17dVQ38+Z7C8Zr7yt8Wd/hgGNHDvju2zrhnEgEehQyfqBnc1wVLnHoS6yNs4V74NGJmE6aoTq1qmq2FRn+96SrNBnqqYTqX5p9x2StGl8s/GWySkvDt3jZ6tbtexQtVTFf0bK9+o9Qj15HJX+Yrly1vWxi0tTZKsogI71qsFcO+E3j1stWrA05/pOnKuF862V0QJ89f/E09EmNFMmdG8qQl64/e/ZcA95EhgLUTMVGDb4OWaM0CqXr1atXbTv2UvMjRo/oH9J1+PuO+vaLmo2k3yABCPlDalWIFavXV6reICCsF2sbIn0+PjNs77vNkD5tBZdvmjCYrH2+d0Nec9v8hy4qylCkcH71/m35h5f6tOrFS1c0xDwmy09U9qXlBxAdndR7BUrBAnl/aNmkSaO6qhswdfrc3v1HqK/M9xaOnzhjHFAG/7zbNv+qehX1q3fXfkan2pn5VvSh3yP5TJM6pUM2Dw8PdUr+/m94aBrRC4EGaDWqVdb0983I8I7asmXrTk0fSFT37SZVLF/21OEdwwb2kObJ2CgB10lTZ31crvpm/ZhRye9MjazKaWfJ/N72jcv+3L5GfrZtWKruTzp07vvwoW0F15cvX6n8zgOwCULnbgUFBhrZHFbuFQkThmQzXvYJhGfB4hUduvTT9IcLBvXtojZGunQFBQXJYIVE4jT9MQ0VFhS3fe+qhNSCDm28Lpz8c9PahfLZusV3svHM2QsTp87Uwhe589l/8IgcWRKtvBqbXDHBZO27Ezq3U1qA8uXKnD22a+tvS04c3DZt0ii1vVP3gRpiHpPlJyr70vIDiI6MFaDG/XeA9IEH9+s6ZkT/w3s3l/ygiGyUkL2avGC+t3Dtum30Tm74N69btHzR9L49vadPGb1zywoVApBO9aNHj8M8E/OtaFDQyzCzafqi1/IZyII47oVHJ6CVLVNKJYynJ5bpS2TV+7qGFkHp0qZu6dVIftQj1jt27f115borV68/eer/dYPmM33GOryQ3Ex++WrcBB+HP1SsSMEqlT6Ttk9NG/t58ihjUbpCBfNNGDOkVv3v5avtO/+Ue7OkSROrr/z9n2mvR1EfP36iEtLvjPdOvJBsToNXj0KzJUroatFdxHDBwcGjxk0ZOnK8po/5r142W104NdsVNGRaYIRK11N//+9bdlq/aZukK3z26ZTxI4yv4ocWV9ner1dHlY4XL66ENv7ad0giAvMWLpfhiOMnzyx3Wi2vZvUqntkyR+J85i4IWVZaLe9kb92GrVKFHTa2b+NlsvYZL/FOlTLFz5NGJQ0dA6ld84tTp8+OGe+zbceev2/7SouhISYxWX6isi8tP4DoqEmjut9+U+uh3yP7FdZSpkwufeASZWwzEeS6KUEHk70F2SiR/R9HDwoMCDQuwSJ/3twjhvT+oUNP6VQfOXayTOmSzmdivoeTKmVyiXc89X/mfBAVxUiUMKEGN0KgAbbXfX1Tt+b8RcuXrVgngQap6itXb9D04VMtshK/m6jsJx/JT69u7abPXtit12BNf7rbIdBgJr+cj9xmOOSX5lUCDZ6eWY8eO6lWrLT/tlzZ0ioGcfrs+epaxTRpQm5OHj70y5wpo33OB/qUB/GO3hCrvfycQrZ++lwv/Tzf1YCwBAYGduw2QL2OIV+eXEvmT7NfezlhggQRLV13fO/Wa9RKLQFdt3a1H0cNeie0uyDSp0urEnW/rma/l4eHR53aVaXrINfy589fnDl73rn65M2TS7oOET0f6S7MnrtYEg3qfSVdGYe9Nm/d4bxqbJNG9UzWPiOCUO3LCvZdHE0Pi6h/wvkLlwg0xDTmW++o7EvLDyA6ihMnjvMbpnPmyCYdYxm0U09cmuwtqJlftmcznUK3n4aOR0qnOsxAg/kejjoZowU2BAUFqYHDJIlpbN0Kj07ARt3/S+zT9+69jVt2SFqCoCbXrhcduvTLmb90zbrNnL+KHTt286YNWjRrqNluRXY+1R++ilB+CbuqxRfsf1RTpc5QzelykDat7R5PNXlpU6dSG52bNrVamHoNociYMb0tW+gSYgZjS2qn58oATX9LggQFVJRB4lzrVs6zjzIoESpd585f+k/F2irK0LFd88njhzvcTaVNE1KqEzqF/9OkCvnqydOnSZMkca4+slGLeGlfuXq9SjRr7LhMlKb3Hpz/kJyzydpnTP1wHp02elFGfwUxh/nWOyr70vIDcCdqUcZAfaVbk70FF0czVmoMCgz3uQaTrWh6/dHmu3fvOWR7GHp9TxN6tnAPBBpg88nHH6rb9Q2bti1bvkYSdWpVM7+7RCLv3rsvcYpboUvOOMiQIZ1KBAdHOH/qVCnV4gv2P128W8m3apBKQrbPX18M7NWrV2r5hqKFC2i2t2mGrPu1Y9efDn9o4+bt8vlhiaLq1+zZstj+I2ze5pBt+07bjnLDkzH0xACD/7Nn3zRuvXXbbk2fa7NwzuQwQ/LmS9fFS1eq1Gio3sLw09ghfXp4O7/8xagjx0+cdvjqxs1bmv7shhyzfLkyztWnvP6umYiW9i3bdmn6vVmRwo4vCxRSJZ3/kFRe87VPrQhz9NhJh2y39P8Omr7YlYYYxnz5icq+tPwAoh2v1p3z</t>
  </si>
  <si>
    <t>FS3bsGlbh+0vX75UoxS59bc1mewtyHjJx+WqyyjglGlzHLJdvnxVJXJkzxbOuZhtRTPrA4R79x16+Hr8d9eev1SicMF8GtwIgQbYyMDjVzW+kMS0mfPVA+FfVilvfvfyoe/INNZftCdb5i9arumPh6lwRkTzh6fOVyEL4y3VgyOG1Ws3qUSxIrZAg4eHh5oiMWfeUvUiPeXI0RMqHmHMCqv3dXX5lAZabVdevAhYsFg/n/KfaoCTwcPGqWtkt04/jBnRP25YqxxppkuXhOEaNWunVmZdPHdqg3pfhXk0uWxX+rysJBYuWWk8A6l2nzN/qaYvGa25FNHSvnvPPs3undgmma99jRt8renv4j5ht5K2pi+uqen/XvNzrOA2zJefqOxLyw8g2kmSJLEMSKz9bbPDoJ26aIoPSxbTTPcWEr+b6MlTf+l7LFiyMuj1FRkn+cxWiYIF8oR3MiZb0eqhD1CvXb/Ffvcl+orXEvLw1AMWcBsEGhCiZjVb5VfDieXKlk6TOgKTl76sXF4Ncm7csr1sxdrTZy2QaKXv3XsSPZV27YOPq6iV6mtWrxy5/OGRex4JRkiibcfev238XXUl9x04rF4pLH8iW9aQFe+a691NaUBbt++hXuRz9dqNxl4dNL0Jrlkt5A9VrlhOvbGiQZM26l2+MljdtIW3enKsVfPGGvA6qTKT9fC/lJwSxYts3bbb4ccYojdZumb+skjdaVepWC527NjOBzQWmu6sz+uRi7pXq8737tneTS0X9a69BqvqE956KIYIlXbpzajYR973c2kRZLL2fdvgaxVYrNOgufoniF/mL1UvCv32m9oaYiST5UfTLwQyxDdxysyI7kvLDyDaMVqwZi07GrGGNes29egzVBLFixaqGHp7b7K3oJZ5lk5Lr37D1dsoJeIwYvRE9cL7zh1apg1d+Gayz2xpbNt49zJOxmQrmj5dGjV80r33EPVSjODg4LETfNZt2CrpDm29nOdvIlqLFazmsruLm7624fEMqZNqcKlbr8E+M+Zl98y6f/dvaktgYKBnng9VizDpx2HGqvISGZUumiSunN2nJoRfvnKtyIcVJDF5/HAVwtT0BuWH9j1XhD7F7WzEkN7NmzYwfo1o/vCcPnu+Vr3v1SRzuUvJmDG9ajezZH5v09qFqVP978FaadSmTp+r0vny5DJGTZfM8zFmWGj6W4WbNPd2ztbFu1XPru00vElMq4NSWlwUY02PF8ybNVGl31i6pEHOnLP4k6eu3iM9bGCPll6NVLrvoP9OmDTDOKB6Y4tDHhfMl/aDh499VrmOJOb8/GPVLypoEWSy9q1as7GxV3uVliosjZKq2vIXZ0wZHSdODFq9mGuZPZPlJ3l622ibfY3TaPmtQ5nE24Yy2X/w6B8n/qzSMrp2+7avumjKBXTZgmnSyTdymuktyDW3aq3G6v5fetT58uY+cfKMylbp87LTJo82Zhk3bNp27W+bJfHg1injT5hsRc+dv1SuUm11WDlDP79HahijTOmS0iyHt7hvTOCW5ZkZDTGUjJQ6bIkbN27d0KhB5Qr/MbZ7eHiEl7CPOyZMkGD6lNFD+ndT7+81SKsknbnli6Y7RA0imj887+fKsXPzCvWCDGm2JMogR5Do7IrFM+yjDGL44F4jh/ZWraRq/qSBW7bgZ/u+pqZHdtf8OkctEqayyS7SEPfo0lYDnJw6c851hlge/2tm31i65HLrOsogPOwq78A+XWb5jFPDCHJA2bdggbwSpDMTZdAiUtofPgxZqClXzuxaxJmsfdW+rLBzywo13Um6QdJhkn9ai2YNp04YEaOiDHBgsvyoDPY1TqPlB+C++vb0njZplFoy+dDh4yrKULvmF9s3LrOPMmjmegtyI/DroundO7fR9B61RBzkUw4uW+bO/Mn+WeY4cWI7n4zJVjRnjmx7tq0upT/WceHiZRVl8GrSYO6MCTE5yuCumNEA6wUFBV28dPXv23cyZ8ooLc4b50FFNH94Bzlz7mJQYKCEYF3ck0iBVzcw72VMnzFDOueAi8H37j0Ju6ZMkVxOSb31B2ZQB82wvHTJpVoOKNdv5zdd/SvnEybzte+pv/+p0+dSJMfTBdYAABAASURBVE8WYx/XpB45M19+orIvLX94KJN421AmFWnf/r7tK02cNFye2TK7bhvN9BakR3312o1bf9+RS7DzK7TeyGQrKlGMU6fPvhMvXtYsmYw3T8VkblmeCTQAsBJ1EIg66hHeNpRJvG0ok3AnPDoBAAAAAADgCo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8QKDg7W3MhNX7/H/i8SJ3xHA/BvePz0uRYrFnUQiArqEd42lEm8bSiTcCdSnhMnip8hdVLNjTCjAQAAAAAAWCaO5nYktOlm0SAgGrmpf1IHgaigHuFtQ5nE24YyCXdyU3NDzGgAAAAAAACWIdAAAAAAAAAsQ6ABAAAAAABYhkADAAAAAACwDIEGAAAAAABgGQINAAAAAADAMgQaAAAAAACAZQg0AAAAAAAAyxBoAAAAAAAAliHQAAAAAAAALEOgAQAAAAAAWIZAAwAAAAAAsAyBBgAAAAAAYBkCDQAAAAAAwDIEGgAAAAAAgGUINAAAAAAAAMsQaAAAAAAAAJYh0AAAAAAAACxDoAEAAAAAAFiGQAMAAAAAALAMgQYAAAAAAGAZAg0AAAAA</t>
  </si>
  <si>
    <t>AMAyBBoAAAAAAIBlCDQAAAAAAADLEGgAAAAAAACWIdAAAAAAAAAsQ6ABAAAAAABYhkADAAAAAACwTBwNsMKK1et9794zk/O7hnXixo1rJuerV688PCIcC9vz5/4Tp86kT5vmyyqfawCAt8zVazcWLF5R8oMiZT/5KMwMV65e37vv0I2bt3J4Zi1WtFCG9GnDzHb5yrWDh4/J0bJlyVy8WKGMGdKF9xcPHT5+/OTpBw/9CubPU6RQ/qRJk2immdzX5Dkjepm/aPlTf/9qX1RImyZ1eHlevAiY5DMrZYrkjRp87fBVQEDgyVNnw9wrWbIkWbNk0t7EZLny83u0c/feS5evpUyZvFiRgjlzZItE9wnR0YlTZwMDAp23x4kbJ3/e3A4b799/eOzEqeMnTidIkEAKyUcfFo8dO7Z9BkosrEWgAdYYO2Ha0WMnzeSsW6uamUCDHK1T94Fj/zvAuaF0bdWaDVOnzy1VshiBBgB42zx56v9N49bSOW7buqlzoCE4OHjAkDE/TvzZfmPD+rXGjuwfJ87/eiyBgYH9Bo+e7DPbPpscbfa0cUmSJLbf+PChX4s23TZu2W6/cfzoQd9+U1t7E5P7mjxnRDtzFyxr27G3JArmz+si0NC5x0DJmS9PLudAw9HjJz//ol6Ye1WpWG7erIla+MyXq19XrmvfqY/ULGNLwQJ5ly2YliplCg1uLSgo6ONy1cP79sGtU/a/Tps5r2vPwfZbpJxMmTA8T+6cxhZKLKzFJRDW8Mya+cWLF8avz5+/kKCmJKTVkGilfc7YcWK/8Wiy76cVamkAADciAYLW7XucCGfETIwYPVH1U6XfWbrUB4ePHP9j7wG5i3v85Mksn3FGtj4DRkpAWRLvJkpYvWql/QePnDl7YduOPVVrf7dqyUxj0oH0wr9t1m7Xnr8kXeGzT7NmeW/Ltt0XLl5u16mPDNw1+66+i1M1v6/Jc0b0cvHSFRVlcG3ilJny/zq8b0+GX9TfyGS52rptd7OWnSQhQ8eVK5a743tv9dqNMlRTqVqDjasXpEiRTIP7unjpqsmcPfsNV5FZ6ZbXrFbZ9+69FavXSzmpXd9r99aVyZIlVdkosbAWgQZYY6bPWPtfpTdWvHRlSQwb1LN2zS+0CAoIaxoYACD6OnL0xA8derqIMly/cUu6qpL4pm7NH0cNVINgo8ZNGTLix5WrN+w7cPiDYoVly6kz51SUoXrVipN/HJ4gQXxJL1q6qmXbbtJbXb9pW93a1dQB1/y2WUUKJowZLANrknj27HnTFt6Sp//gUfXr1kiYIEF4J2NyX5PnjOhFwkzft+7sOs/tO77deg+R/8su8hw9bhtSLlWy2ILZkxy+ihvP1dROk+Xq1atXXXvZxqjz5cm1aulsdZMmEbeadZtJN+yXBUvb//C9Bvd18nRIc3r22K54r08W9rB7JuLS5asqylClYrlfZkxQDylUX12xSXPvm7duL1yysqVXI5WTEgtr8TwMAAD4fxQcHDxw6NiyFWufcDlcNm/hryrRu3sHY6ptp/YtsmR+TxLTZy1QW1av3aQSndu3VFEGUatGFTXtdvPWHcYBp0ybI5/ZPbOqSIGQ/COH9tH0JziWr/zNxcmY3NfkOSN6Gf3j1EOHj7vIIKPBxT+q5DrKIA4ePiafcouVNGkShx8XQS7NdLmSWJjcnkmii3drYyi47CcfNW5YRxI+0+dKxESD+zqmxwUKFsibOlVKhwKW+N1ERrbJPrbWLEP6tD+NHWIshVD9y4q5c2WXxO/b9xg5KbGwFoEG/Au2btvd4Lsf8hUtmzx9no/LVW/bsfe585eMb8eM92nfuY9Kd+4+oH6jVsb1/uXLlzNmL/yueYfipSvLvnKEWvW/nzBpBjMgAOCtJX3HsRN8NH3W7ppf5xQpnD/MbLv/2Cef5cuVSZ8ujbExVqxY9evU0PQ5C6oPWqNqpYnjhg4d0D1/vveNbNK1zZkjmySePQ95iO/58xd79x2SRKMGry2pkOm9DDJep+nPCWvhML+vyXNGNCKjr8NH/SSJqT+NDC+P3DipJ8xHDevr3bZ5mHnkf73qvRQqmFeLIJPl6q/9hzX9AaLPy39iv7vE3eRTBqsPHTmuwX2pCQjFixZ0kUdas2kz50miV7f2yZP/78EEKU4rFs88tn/rzGkhU5IpsbAcj07gHyXjWi3bdlu8bLWxRQa45GfugmVjRvRv0qiubDlw8Mgfew+ob1VX7zt9+9+3fb/zaq+2KNIkyY+ELZav/m3z2kWsWAsAbyfpWXbt+IM05vbjbA527t6r2TrNhRy2Fy6UTyWuXL2e3TNrrpye8uOQR24O1YWjYvlP1Zaz5y6oRJFCjnGNEsWLSOajx06Fdybm9zV5zhqiicdPnnq17iKJzh1afvRh8fCySWDLq0mDtq2bSuxp0LCxYea5cPGKSkie2XMXnzp9TrpAEh2T8VvZorlkslwd0sefC+TP4zDaXDB/HpU4e+4iD++4sT/1Ri/v+7lWrdkot+j3HzzMkzvHhyWKGeVE05/xUYnSpT7Q9L70/gOHY8exvZPCoRxSYmE5Ag34R82eu0RFGSTq2bNLuwwZ0h47frpzj4HSAHXs1l+6dNIkjRjSu0G9rxo0aaPpSz/kypk9S+aMkv5pykwVZejXq+PHH5WQkbFde/6SCIVslBDslt93ff7ZJxoA4C0TN27cS6f3un4Fg/+zZyrhvBhYsqQhC5Xd8b3ncNN+7frN37fv3rBp27oNW+XXIoXzf1m5vPpK+twqkTx0nbP/HTCZbbXIu/fuv3z50uHtbhHa90VAQCTOGW+znn2HSYckX55cXbxb3/G9G162JfOmvvGVIidOnVGJCl86Ljs6duSA776tE96O5uvCvfsP9GzJHbIlTvyuSshdpQY3JSNtalqN9KIdvmrRrGHfXh3VzbxRBuLHf6dStW/sh+tqVK00dmR/YyVISiwsR6AB/5z79x96d+0niXJlSy/6ZYqagJC2XOptG5YWKF5O</t>
  </si>
  <si>
    <t>msuO3ftv/W3JexnTP3v2XO2SI3u2vO/b3rsj306cMlMS3Tr90KGNl/o2a5ZMRQoXUK/2OXr8FIEGAHg7vfGu7Gnoq85SJHfuqoa8RcK4NBimTp+rLg2aPmli2fxpxtzgJ0+ehuzuFCwwwgfPnr+QvTQnJvd9ZnSvI3LOeGutWbdJvUJi2uRR8VwufWfmxaXHT5wx0jImLEMpEsJQD91IXyhx4kS1aoS9VLb5uvDQ75F8pkmd0iGb9K+kYEvHSWhwU/ZviChYIG+Z0iXlf/eSZavl/7s0jAGBgWNG9Jev/v77jsrzRc1GFy5eloLxfu6cp8+ck2wrVq8/debcjk3LVWmnxMJyTDXHP0eaM5Xo1a29/WMO0pPr0aWtJA4dPv7o8ZMw943/Trzdv69aMGeywwvJPLNmVt3EgNCRJQBAtPPy5SuVcFg7XSRMGDLJVrrOjl8liF/1iwrSw9b0ePR/Kn29ddtuhwPKOJ7DXglCZ+0GBQa6PhnX+0bunPF2uvX3nVbtukti2MAeeXLn1KLs2vUbmh7/2rxu0fJF0/v29J4+ZfTOLStUp6VD576PHj0Oc0fz5Soo6GWY2USSJInlM5AlQtzXtes3VWLcfwds37hscL+uElk4vHdzyQ+KyMaZcxapyQu3QyfmSJRBBuounPxz09qF8tm6xXey8czZCxOnzgw9ICUWFiPQgH/O+QshKz4az2IZioU+1nXp0pUw95XRg7zv56z0edlXr15JP1KCtZ17DKxSo2EGzyJq5lhwcLAGAIiekiQJmTrr7zQFwAhAJ0rouOx5z67t5vz846qlsw7sWZ/dM6uMv9Wq/73qfydNmjjkgP7PHPZ6HHrABOGso25y38idM95C0rVo491TuhMStGrerKFmhWmTRt24ePD4gd+LFfnfWn358+YeMaS3psfFjhw7GeaO5stVqpS2KehPnUqpLad+T5goYUINbqpJo7q+146dO75bvbJBSZky+YQxQ1R62w7b6yRkoE79WuGzT/v16qgmL8jnoL5d1JIK8xYuVxkosbAcj07gn3Pj5t+aHit1nnNoTKO6ddu3UDi73713v0efoUuXr9UAAO4lYYIEauqsn9OgmZ8+21Ykfvfd8Hb3zJZl6k8jylexrRy8cvWGNq2apEmTWn318KFf5kwZ7TM/eOinEu+EdsEdmN83KueMt8e8hb+quTBVv/h8U+gbUu/cCRkK3v3Hvod+ftmyZHZehdQ120PyTsGsT8uUUonTZ8+ryTjOe5ksV+nTpdXsyqQhKChIjcEkSUzxc2fSnVav9bWXM4cU1fck6qpeJ6wKiaj7dTX7bB4eHnVqV91/8MiFi5efP3+hZm9RYmEtAg345yRJbBsjkqYkODg4VqxY9l8ZjU54C5JLI1inYQv13p0M6dOW/eSjwoXy5X0/l3wWLvG5xCCY0QAA0VrGjOnPnL3wIHQhRoOxJXVoSFp6pQGBgQ7rlhctXEAlLl+9Jp9pU6cK2d2pU6vWelQveA+T+X3NnzPeZmfOXVSJrj0HO3+r3ivRrnWzAX06a1FmrHsXFBjuLHGT5Sp9ettt29279xyyPQz4oZ9kAAALKUlEQVS9u0uTJpWGmCdFimQSaAjUnylOG1oGEjpNFkiTKuSrJ0+fOj8mZqDEItJ4dAL/HM9smVXi+o1bDl+dOx/yVEXqVGH3yf7af0hFGbp1+uH4gd8njhvq1aRB6VIfvHz5SqIMWuhzXwCAaCp7tizyuWHzNoft23f+qdnm3KbImCGdJBo2bZs6U4HW7Xs4ZAsICFkNIan+rG/y5CGrNu7Y9adDzo2bt8vnhyWKauEwv6/Jc8ZbLkXyZDKG4fBjjBXLaK38apQKMx4/efpxueo585eeMm2Ow1eXL19ViRzZs4W3u8lylVl/6eDefYcevh4R27XnL5UoXDCfBjfl1bpzvqJlpT102P7y5UvVYc6dK4d8Zghtgo6fOO2Q88ZNW29cFXVKLP4/EGjAP+f93DlUYvLrrdirV68mTJqu6S1RjuxZJRE7dkjJfPHihUocORryYFidWlXtZ0Os3/i7cRANABBt1fva9goh6SJfuHjZ2PjiRcCCxbZHiCuU/1RtUV3Vlas3GO+HV5av+k0liuuvYffw8GihP2w/Z95S6Xkb2Y4cPaGOb8wHdmZ+X5PnjLdcx3bNTxzc5vDz+4al6tulC36WX403XpmR+N1ET576y0DIgiUrg15f326Sz2yVKFggT3i7myxX1atWUom167fY775Ef4+43EB66rd/cEtJkiS+eev22t823wp9r4SyYPEKlfiwZDFN71pX+rysJBYuWWm/4LoUyznzbSW87CcfaZRY/P8g0IB/jjQfasWayT6zfWbMUw87+D971rZjb/UgWZeOrdXbKOLHj6922bx157XrN58/f5EpUwa1Ze6CX1ULKJ2/Nes2tWjTVW1//OSJBgCItipXLJdBn1jboEkb9TZ1uUA0beGtnt1t1byxylazemWV+L5VZzVwJ9at39JFf5l8ds+sn5b5UG1Uq/pJ17l1+x5qvsPVazcae3XQ9M53zWqVjT8tlyEZHjTelGl+X5PnjBiofp0a8nn02Mle/Yard/tJ72XE6ImLlq6SdOcOLdOGLgUinSIpfm28exn7mixX6dOlaVDvK0l07z1EvWJAelZjJ/is27BV0h3aejk8pgp3YrRCzVp2NGIN0jHu0WeoJIoXLVQx9Pa+s3crTX/rhFerzvfuPdD0EEDXXoPPnL0g6RqhN/+UWFgulps92X7T1zYVJ0PqCExvw/8Hac6Kl7a1gNMmjapd83/v3ZVOW/kqda9cva7pcxE9PbMeDV3DtnvnNt06/aDS0rSlzlTA2GvsyAE1qlb84OMq6ikJ2VEGrPYfOKzaL+nzyfaSHxRZv2q+pjdeU6fPLVWy2LoVczX846iDQNS5dz0qV/lrCRC0bd10YJ8uDl+tWL2+SXNvlc6XJ9eJ0BfFd/Fu1bNrOyPbf8dOHjpyvEpnyfxeYGCg</t>
  </si>
  <si>
    <t>jOxp+tXht1Xz8+fNbeRUVwTnAy6Z51O+XBkjW/L0tpG6KhXLzZs1MaL7mjzn6C4Gtu3Xb9wqULycJKR3oV4ZGKZBw8aOGe8j/+t3bV1pv12KZdVajdXdlJTMfHlznzh5RvVbZIR52uTR6q2Bmv40kIxLS+LBrVPG7ibL1bnzl8pVqq0OK1E2P79HqqdUpnRJKajhLXfqHuhv9B88+seJP6t0kcL5b9/2VS2htIrLFkyT8mDk7DvovxMmzVBpKU7SD1dlZtjAHi29GqntlNh/l1uWZ2Y04P+FEZJ0CE1KUGD37yvVlFRpZVSUQYICo4f3M6IMmr6O7uK5U43HI89duJQsWdIVS2aqK73suG3HHvmUrt7+3b8N6meb1CAto5pG6xE7tmZ7+CK2BgB4+8T2sLXPHrHC6IHI2NqaX+eopRZVP1W6ttIV7tHlteeQpec6y2ecukZIj1n1rb+qXmXf7vX2UQYxfHCvkUN7q/6xOqB0bZct+Nk+UqD+inzG8vCIxL4mzxnRjkdoefDwcDXKqvobsZ1epxU3btxfF02XQRRN77dIL0U+pdDKlrkzfzLu2TRbnyeMHovJcpUzR7Y921aX0ifJyxiPumfzatJg7owJMfmeLYbo29NbxvNUSyjRW9USyvDe9o3L7KMMQqK60maqSQdSnKQoFiyQd8SQ3kaUQaPE4v8BMxrw73j16tXVazd8796TiGnCBOG+ZvyO791Xr4LTpE6prvdSXG/fuXvt+o1EiRJlz5aFJuktRB0Eoo56JFcHGfhKmSK5dFvDWw5drgg3bv4tgYbkyZN5Zs3sYtV0yaniEe9lTJ8xQ7oIRaLN72vmnKMvymSkBQUFSYfn1t93PLNlSZ8ujRZBJsuV3BOeOn32nXjxsmbJlERfD9XtUSYVaaP+vu0rzZQUEs9smV23b3JjL8VJ7vad34tpoMT+K9yyPBNoAGAl6iAQddQjvG0ok3jbUCbhTnh0AgAAAAAAwBU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aJFRwcrLmRm75+j/1fJE74jgbg3/D46XMtVizqIBAV1CO8bSiTeNtQJuFOpDwnThQ/Q+qkmhtxt0CDpscaNAAAAAAAogM3izJobhloAAAAAAAA/xbW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AZAg0AAAAAAMAy/wcAAP//HsrefQAAAAZJREFUAwCJiLog7FG+HQAAAABJRU5ErkJggg=="},"draft":{"kind":"visual-draft","version":1,"status":"unverified","source":{"name":"en-split.png","sha256":"b82fd9c80db47f8b8b5ca0bafbf79ef373e2133cdde245bdff1503b68c4066d0"},"engine":{"library":"tesseract.js","version":"7.0.0","languages":"eng+ara","assetHashes":{"worker-vendor.js":"576b7df7e3393e137e51849357c9adb53fe7ac1bb69bfa06cf3d61520f182c6d","tesseract-core-lstm.wasm.js":"eef5f8b2f8e20e150680b20adaec4a60babafee3adbe8a94583c81fee46e8680","eng.traineddata.gz":"45b4cb346724ac1774f1c36f42f182b887bcdb28ebe63e6fff90ac41f3fcff91","ara.trainedda</t>
  </si>
  <si>
    <t>ta.gz":"f4746c44b02342dd5b3d4f0198000f47d7c49f1a229e63e0f436c0592dcd9639","worker.js":"4faaf3bf0aabdd360f3a8a280f37050fa7307799d30cb9f4ab2dbd9807383f38"}},"pageCount":1,"pages":[{"page":1,"width":1400,"height":860,"imageDataUrl":"data:image/png;base64,iVBORw0KGgoAAAANSUhEUgAABXgAAANcCAIAAABqhFB6AAAQAElEQVR4nOzdBXgURxvA8cXd3R2Ka6FAoRR3KVakSHEr7u5StLi7u7tLcXd3dwkQge/NTdgud5djk2w/aPL/PXnyzO3N3l0uM7M778zOhvz48aMGAAAAAABgheAaAAAAAACAR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E4QCDR4eHlev3bj/4NGHDx80fNvkf3Tr9t2Ll64+f/5Cw9fw+o3bpcvX+P4BAAAA+FVILVB79frNgsUrjp84c+LkmTPnLurbUyRPmiNbplYtGnyXOqX2DXB7+/bqtZsZ0qXRt0hYpFjZ6l5ePjGRjm2blSxWUPuXOX4MLy+vIqV/1T9G+1aNS5csov1r1q7fsnP3/pOnzx44dEzfGDNGdPlnVa1crlzpYsGCBdP+g9p17nPoyAmVLvzzj907t1bp02fON2vdVc82e+pfiRMl0L6em7fuLFyy6sy5C1Jlbty8rTZGjBA+SeKERQr91Lxx3RgxornY/d79hxIhShA/rmaR02cvpEyeNGzYMFrQZvkXCwAAAPyrAvOMhr1/H8r2Q9EOXfrNW7jcGGUQV65elw5V7p/KNGvVRXrX2le1Zt3m7/OWmDB5lnGj9O2PHT998tRZ9fP48RPtX+b0Y3z8+NH4MR4++rc+xtu371q261Hz9xaTp881RhnE4ydPN2zeUbdh66Klq129dkP7D7pw8Yr+HUooR9/+4uUrfbv8vH7jpn098s1nzll4wJC/Vq7eqEcZNNvUBqk+I8dMTpkhz+hx05zu++7d+1Fjp6TL+tPuvQc0Kzx4+KhFm275CpW//+ChFoRZ/sUCAAAA/weBdkaDjIWW/qXWF7NJDCJ48OCjh/fTvgbpv3XuPuCrdyG++sd4+ep1mYq1paftOtvhoyeq12m2bcPi8OHCabCUVAQJyX0xW4++f8aOHbNqpbLGjes3bZfyY4xNBIS7u8eU6XO79hqsBXnWfrEAAADA/02gndHQu/8wuy22GfiZUyRPard9zvylK1Zv0L6GRs3afwsDlV/9Y8yYvdAuyhAxQvhMGdOlT5vaLueFi1d69PlTg6Vev3Hr2NU+ypAkcUKpL/HjxbHb3rhFx2vX/5mU8fz5i+q1m1rYGd62cy9RBu1f+GIBAACA/5vAOaPh3v2HW7bt1h9Kl2nqhGHZs2ZSD2/eutOyXY8du/bpGSTQUL5McQ0OQoYMuWD2+A8fPqqHxuUbLDRr7hLjwxmTRpYqUUjeWrNNdhg8bOy4iTP0ZxcuXjmkf7fgwQNDjEwiKfNmjtMfJk2SUPsatmzbZbxqo3iRAkMGdE+UML56eOjI8eq1mz1+8lTPsHXHnvp1qmsAAAAA4EzgDDQYR1xF6xYN9CiDSJwowfSJw5Ol/UHfsnffIe1f4OHhceHS1fDhwiZNksiqjvGHDx8uX7nu9cErVYpkqivu2p279x88fJQ8aeKoUaNo/lKscAEz2d6/d79y7YaHu3u8eHFixohu/u+Vb+nK1ev6w0oVSpUrU0x/GDlSxH49Oxw7furvA0fUFukSX7l6I1XKZNq/4NXrN5cuX/Xr1yV/wrnzl2LEiO7X5frkXUoU/fmL2Tw9Pa9dv/Xe3d2vKyPeun3Xze1tmtQpXGeTEmV82K9XRz3KIL7PnmXK+KHlq/yubzl0+Lg/Ag3yLT16/PThw8cfPn6IEjlSjOjR/F0mdTLsL6Uufry48eLG9tOOL1++unz1esoUyaSA2T3l9vbtxYtX5RtwvfKl8vbtOykwESKElzoeIkQIzS+kJF+8dEXKTJzYsTQAAAAgEAmcgYYwYUIbH+7ac+C36pWMXV/p4TT8vcb+Q8cihA8XKWLE8OHDSQ8zUsQIxctWl06syhM/ftwdG5fY3eZgzbrNrTv00h/OmT4m1/dZDxw6VrNuc7XluzQpVy+duXnrrnGT</t>
  </si>
  <si>
    <t>ZuqTJiJGCF+4YP7B/bvGjhVTbWnVvufa9VuMo8RzFyzbuHmHJPr0aF+tSnnHP0o6jV17Dd6+Y48++Jwvb64/B3R32o28fuNWt95Ddu7ap2eOHy+O5O/VrV3cOP/0ar74MaSLmzlnYXd3D/XswL5dJBBgfCOJL4wcM3n5qvUXLl4xbpevt0nD2tL70r7E7hvet//wGze3COHDGzPUrllFeoYRI0aIJP+kCOFfv36jP1u2Uh3p5Kt0/brVO7ZtZny1qjUbHz1+SqVrVqvYs2sblV63cVvLtt1VOlfObHOmjZ48fe7S5Wv1dShTJE/aqH5N6U4bP979B4/yFfL514QOHerIvo3yaSdPm7PB9o1ptstzfilXome3tiZXkTh2/HSVmo30hxtXz0ueLIkxw87dfw/8c7RxdUz5d5ctVbRty8Z2hXzR0tVdew5S6eJFf25Qt/rvjduqCI58qorlSw7q19W3jxE2zGfBix27/ra7wujHPDlzZMss4S359qXKxIvrcz1FjrwlHny+WGOTPzp17z1EEmuXz06dKrnaKN+SVAcpaXbvmyljuj+a/l6xvE+JOn/xcplfar97986YR77wsGHDRokS+fDe9fpGKdUDBo9auWbj3XsP1BapYj/kyt6pXXNjSFHs3nvg90Y+//ScObLMnTF26oz5s+Yt0S/Vkc8ggUg1oUkq7JDh4/SQlnzVxYv83K1TS8eInsT7ps6cP3P2IuMqs/IV1atT7dfK5ewyj50wfeSYKSpdt1bVzu1bjJ80c8mKtfLfVxvlH1SrRqWObZtLofLTFwsAAAB8mwJnoCHtd6mMD5etXHfh4uWmjeoUyJ9Hv+Z8cP9ujjv+kDO73qmT7vexE6ezZclozCDdA71b7r2OQIa0mveo5lt9o4QDpMtqt66e9ItWrN6wZ9/BdSvmqKH4R48eG7v3+jtqtkF1xw/mfeF6z0F2dyWQTtQPP5VevnCq/F3G7dLnbNS8g90rSJds4ZJV0tmbNnFEkUL51UYzH0Pvy2m2cWBjTumtNWzewS7EoEyaNld+1q+c+0PObJpL0ovLnSu73ruTt/suU762rRoXLVwgbZqUqp9ftVJZuwUIjX+X/ic8ffrM7tn7Dx/98+yz5/p2CVXo2+/eu9+pW/+JU+cYd5QuuvwT9/59aPTw/hLcUBtlTN74dS1auqplux7GveRZ+at37tk/d/oYx9VAHLkZSo54995dT0twZ8CQv0aNnWK3i3zbf14cv3HLzinjhhqndbx69Vp/qWPHT5Wq8JteWmT7hUtXNd9lyZze+LBd5z5btu36rUblH3N/HzlyJNkiY/Wb1y5w3NE4FUWnPoYeL5i/aEXTlp01Z6T81G/S7uq1m+1aNZZ/9Pt37x1Lo/wV8mPcfvzEmToNW9ktXiB5tmzbLT+9urVt3riuPrngjds/3/CVazfk/zVr7mK7z1C3YWttkvbkyTP5w41PyVctP69evx42qKdxu5SpZq26GC/OUg4fPSE/W7fvlvzqe1NevHylf4Y7d+9LyEBqovb5Nzb8r0nbd+1bt3yOmrFi5osFAAAAvlmBczFIGU+263vLwKP0DdJnK/BjwXJ9BoyQLvrbt07O16tW/qw3u2rNJuND6cysXL3RkLlcuHBh7V5B+j++rd4v/YRhoyZo/iLv69u9D9t17vvx40f9oYQzHKMMOnkRGUKXrpoWYM+fv5DerNMog65y9QZ2l7E4pQc+FPmQvfsPz/tz2dQZf2zTsdfqtZvkvbR/jQws20UZdPK1Dxzyl2872kUZdPKd1K7f0svLSwuAEaMnOUYZdNI9Lli8km9FQkq73VO+hWkUGdWXqJlxy4bNO2rUaZYkTc6yleqMHjdN3k7G8DW/O332gm9RBp3EU6TQauY8ffq8TMVaLpZI7NVv2CRf/pvyf7GLMugk1mAXZdBNm7lg3sLl+kOpa/Uat3WMMuiWLF/boGl7356Vl7KLMuikHC5dsVYDAAAA/vsC7V0nRg/vZ9d3UqQPJl046T7FT561Y9d+ly5fMz6bNk2qrFky6A8XL1tt7F9t277HmLnyL2U0X8SMEb1V8wZTxg+16+BJH0MGsSWRI3vm4kUK2O0iW+Qnme+XGzRpUGv6pBHdOrUybpTBTxlHVWlPT0+7/lLLZvXnzRzXo0tr48aBf45WCf99DGXI8HHG3mya1Cn69+rYuX0L46UckmH8pFnal8gQdK7vszpul9DM9FkLa9VvmSztDzV/b7Frz37t3yTf1dCBPcqUKmrcOH7yLLtCYqdalfIygt2kYW3jRilmi5au1vzr1u27g4aO0R9KSR7cv9vcGWPr1qqqb5TvdvK0Oa5fR68CJYsVdJEtcqSIUyYMc/qUhOR69P3zp6IVM+YoKBXnmWFWiChfprhdRM92uYF3+YkWLao8nDxtrvFZKcBzpo2WAvlLuZLG7SrQILvIjna3GsmdK7ts1C/Yka/FWOrknzVryqgxI/ob744hkQvfQjCabQHOAb07jf9rkNMpJ/IJZ04eZXd9kPGiDwk+GsMi8moTRg+WWpkvby5946atO41XuziSyE6f7u3HjhxgV+znLlimEl/8YgEAAIBvWeC8dEIkTBBvwewJdRq0cpyMrVPT++0uPahTs4p+7fTdew+OHDv5ffYs6uHKNf9MZ0iSOGHOHFl8e2X9OmrpUL148VK/hl/cu/dAejitWzSU9I8Fy+nXeBcrUkD6S5rvJo8bqvd/5K9r3KKj/tTVazfVh1y6Yp1xioF0gVSko0TRn3PmyFr6ZQePXQAAEABJREFUl1pqu3SEDh05Lrv442Mo0hOWHrj+UPpLyxZOVQsTSIQl6w9F9AsuJk+f26dHe9dLGIYKFWrqhOH1Grdx0T2Tzp78SMREfWZrSYd8y7pFKkRSr061kWMm9+4/XH/2r3FTJW7ldEeJJelLDJQpWaRk+Zr6U/0GjXS61oYZEsQxPtyxaanqFUu8IF7cOAM+TbIYPmri77V+jRIlstMXkUKY54cc</t>
  </si>
  <si>
    <t>V6/dOH/xinEmv1PFCheQWIbjTS518g/tM2DEzDmLVy+dqS8VKR3s589fGNdVlf++cZGC2LFi/Jgn5/ETp6Xn3/D3GgP6+Mxu+CnfD8tWrtOzPXr8RLOt0jp/1nipLNVqNdGfGjdqoL7Sx7XrN6U46U/VrFZR/7+UKFowc85CKr4gv6fOmCdhI8e/QuJoKxZPl9+SlhpaqEQV47NDBnRrULeG5h2/KHLoyAl93oSe+PjxY5eeA/X88k/ZvHahmtYk//1K1Rvqy7L0Hzxq1ZIZmjNSzNavnKMqi/xDv/+xpN5G6SGtL36xAAAAwLcs0M5oEHlzf3/k741t/mio+hW+qVC1nvGCiLKfD2ivXrdZJdzevjV2jaSTY7eKoa5n1zb6am2Sp2KF0sZnnV6y8UUSCjGOshb+OZ/xWX1xxKPHTuobZYy3SsV/5lzItyFdPv3hth17tQA4e/6i8WGXDn/oyx+GDh1qYJ8u5coUk41zp485sm+DvsSdCwnix12/cu6MSSMlguMim/R1u/Ue4r9p/C60bN7AOBGjWaM6xhHyM+cuON1LBrH1KINmG3uvXrWC/lB65i9fvdb8RV+xQrOVNOPYe/PGdfW09KiNixEa1a1VVaIMkkieLInr6Qw6CQQc27/J9UUW0uUuWLzy+YuXNXO6dmwpgYmblw6fO76rb0+f0JiXl9eZsxeMf9SzZ6YujTl1+rzxYfvW/8QjokeP+ochsrDRENoz6t65ld4aqAVWdPJ59FtpSLWV+vLPx/t05c7DR4+NS5bIB9AvngoRIkS7Vo31p3bvPeDh4eH0M4wa2levLFGjRilVorD+lIuoKAAAAPAfEmhnNCiRI0Xs3rm19HgPHz25fuO2Ldt2Oe2Y1WnY6uKpPbFixtBsp/7S19Kvo56/cEWvrm2DBw++Y+c+4y4Vy5f07U2zZs5gfCiDusaHHh6emt/ZTbGOHPmze/K5u/ssInjZsIacu7vHlBnzjNmM896N/SV/uPrp3hxKts+X+i9buqj8aH4kvTsJT8iP/I82b925dfsep5fuj50wXSImdld8BFDRzxeJCBUqVLkyxcdPmqke6jNc7JQuWcRuS6nihYzX89+8dSdDujSaH3l6ehrXAnz48LFxGN/Ordt3nW4vV7qY5ndJkySaMHrw8CG9du7ev27D1g2btjtdK7RR8447Ny01/are/9nw4cLu23/owKFjh4+e2H/giN2lDR+1j2Ze5+r1z0rd+k3bgwf/J9h36sw/YQjfFnFIZ7guI2TIkBEjhNc/iVQxY+gwimEOiH7Xles3PnvZEyfPvHz1z/Kojx9/9l3du/8wcaIEmoOMGb4zPvTrjTkBAACAb18gDzQoMtgovQj56dWt7aPHT3bt2T9h8mx9XQNl+aoNMqKr0tWqlNcDDdKtOnTkhOy7au0/C0PKw2RJE/v2dtGiRjE+DBPG1VUDJtldmC09YeNDfTHIk6fO6Rvlk/u2LKVmu9WCFgBXrn3W5XO6HIa/pU+bWn5aNW/g9vbt/gNH5y9avmT5Z4vkzZm/1Gmg4aNDd/X9+/eaCXEMt/xUEsaPa3z45MmzGDGi2eWJEd3+ann9vo/KzZu3/RFouH3nnvHhpq075ce3zL4FGvSrG/xBxttLFP1ZfjTvq3JubN2xZ8iwccaIw8lTZ0+fOZ8h/XdmXk0+Yfc+Q4yThhwF04JpJly+ct34sFM3X6/xkTjahw8fjHe0VSJH8vUSErsq5rTa2q1sarx6yJH8H50GGuxufWpmvg8AAADw3xIIAw3SwVi2cv29ew/uP3x0//5DGf02LqEXK2aMiuVLVShb4s8R443r7V02LPgnu8SMEV3vWUmIIVOGtMa14mtWq+jiA9h1UUKGDKEFWNgwoc1kM3/rO986qCZ5en52SwWnnTqTJO5z7sJl+U89fPQ4bNgwxlsJSpesYIG88lPj118qVK2nbz9/wfnUfU8v+9ki796ZCjToQ9Y6u+tijCPnOse4ht1ewfz1nbj55eIau6iELmqUKJo5EkPZsHn7/QePHjx4dPf+gxZNfjdOn0meLIn8VKtSoV6jNsZ4x+Wr180EGs6cu1i+cl3HaRFpUqe4c+eePpvAZB154/sSj46ePH2m5igZOd4mRhchfDjtS9zc3mqmOZ005BiSCxWSQAMAAAACm8AZaGjdvofehzlx6qwx0KBIr/j32r8aAw0SldDTIUKEqF+3uv7soiWr8toud9eVNlxW7ciSyIId39aDsJM8eVIZbVbpFMmTtvnD13UTo/qygqBJKZIlMT589uyFccBf+u2Hj55IkTxJnNixvvhSk6bNNa7q365VE8fJ5AXy55E/R7+gwHhlgdH79+52W56Yu+hd+oR2UwDuPXiop6Vz6HSp/9t37IM1xlKk2VY31PwuQbzPpkWULFawlO/lLakvNwcJZXqc/N79B81bd9Ufxo8bx/EOIPINSKzHGGhQyzd+Ub3GbYxRBqmJxYoUyJk9i3yfteq3XP1plpDJKJXd+h1jRw5wkdnF5AWnzFSxBAk+m+fSukXDlCmS+pY5a+b0jhvDhvU10gEAAAAEGoEw0BAyZMiihQvoCzdKp3Tl6o3lythfsn7288Ua4n7eJa78S2k90CA9pZbteuhP/VKuZNSoZoeLzfv40dRl6q4lT5pYDzQI49qE4vSZ85EiRUyYIJ5EUrSAfQwJIhgf7ti9z7gs4v6DR8pV9l6zUDqoWbNk7NezQ6aM6Xx7qcI/5zMGGkb8NWnIgG52eZ49e24MLhjXETSGdewukpe9XpsbA1+5ZqOxdy1fgvFWpqk+Le1pZ8myNS2b1Td2UO1uwOm/QEOUKJGNawfI/8v4f5Qgzumz52Vj7FgxXbxIqJBmq3a6tKmNbzd5+tzGDX5L/nkgSXNY/jN2TOfvblyn8979h8Z7oEhcwPiHGFcMcdHJN76g3fdZ6OcfjZGsGzdvu719mzxpkjDmpv/4Q6KEn32ALJnSG9cief78xfUbt5MnTxI5UkTNapYv</t>
  </si>
  <si>
    <t>gAoAAAD8ewLnXSekB2J8WKdhqxWrNxi70Hv2HazfpJ0xT/p0qY0PpaNlvEeDcVTWwpvMhTb0iF59unNEQBjvuCk98zWfbpkhjh4/la9whSy5isRMmKFgicrTZi4IyMf4Lk1K48M/R4zX+43SIxo1dopKS/d1994Drvvb+X/MZXwoHd3Bw8ZKj1HfcvXajRp1mxvzGMeKjdPj9+0/9PTpP93XHn2HauaMnzTz9Nl/bi0hUSrjoqEZ06d1upfkmT1vifFz6utHara7fkSKGEHzF2PZmzRtrvE6l8nT5hQqUSVNpnyJUmYvW6nOvv2Hnb6C+Wk1wYMHL/P5nVaq12lmXP/S09Nz5pxF8k8x5tELQPDPg1Zv3P6J7Jw8fdb4lLH7feLkGeNKn8YVUkN8PrvBeCFJtiwZjU9JTEpPv3z1unDJqnkKlI2bNHOOvCXadOyl/QuSJUlkvPZhyPCx8uXoD5v80enn4pWSpP4+fbYC1Wo1MTnpwzcuvlgAAADgGxc4F4MsWaygcZEFUbdha+n4ZcqQNkTIkOcvXLabey+dhwrl7O8iUbNaRce7HkjOAvlzaxYJa1jNYfXaTQP/HC1dyp/y5XZ9i0EXalSrOGDIX/ro9G/1/hjYp3OBn/JcvHh1wJ9/6dmkG9mjc+uAfAwJxMjotH6HBRm4/rFQ+Tq/VfXy8lqweKVxzf9KFUq5ngAiL1W8SIENhvsRDho6Zsz4aTmyZ4kaJfLtO/fslu3UvGfg/6qnkyZJpP+b5A+XoFLTRnU+eHmtXLNx0dLVmmn5CpXv1K55mtQpDh05MW7iDONTxjtK2mnZrseRY6d+yvfDnTv3pdtpfKprx5aaf7Vs3sD4hRQsXnn44J4pUybbf+Bot95D1EYVxJkxaaQWYHVrVZ2/aIX+UP6bEopKnza1vOObN27HT5yxW2QhX95c+t1Aw36+IsnI0ZMl1nPy1NmunVrFi/PZJTB/jpwQN27slMmTbtyyU8qY8anXhvCW3TIKXXoMlLc7ePjYojkTs2ROXyB/nh27fO7/MnHqHA9Pz9o1Kr94+WrC5Fn6h5Ta7eKmMAEhn631H436DhyhHkqkSWI93Tq1ihA+3PJVG/R/mboSx3GFCD9x8cWm+y6VBgAAAHzDAmegQXq282aOLVq6mnGjnP37dk/HAX06O852dnphfO3fqtrd8SEgUiRP+veBI/rDIcPHaZ/ur6n5i/wV7Vo36dVvmL6lc4+Bjtmk5yYdtgB+jO6dWxtv5SjfrcQ4HLO1bdVY+5KxIwfmK1ze+N+RXrTen7QjAaA8hiUzShT9ec78f261KH1v+dH8xbhmh65B3RqpUiZzsdesuYvlx26j9MOrVCyj+dcPObMVLphvy7bd6qF0oWvVdxK2kC5u9OhRtQD7PnuWvj06dO8zxLhRetFO7wUrBvTupKdDhw4lITz9fycJ9TXW+PWXggV+NF6UIZ3kIqV+dfqCFy79c4WF3fwX/R8q3ewYMaJ1bNvMWDCmzVxgnJujyJs2aVBL+3f8Xqvq+Ekz9aCGVJxSFX5zzNbdEMjzHxdfLIEGAAAAfOMC56UTmq3vNGH0YDO3XezZtc1v1Ss5bpd9a9WobLexcoVSmnUqlC3huDGAN55s2az+nwO7u8iQI1vm2VP/CvjHiBsn1qolM2LGiO4iz9L5U75LnVL7Euktz50+1rjygm/kTxs9/LN7dpYsXqiZLzMOcn2ftV6dapoJEnlxul16+106tPBtL98WnkiSOOH0SSNChgxQFG/21NHSpXSRQSIgrVs00CzStFHtJg1rfzGbVIrlC6fa3W/CbikQ5e79B2HDhpEQkm8vlTVLBj194+btcxcuqbQEGqSIOuZXy3NKCGbdijku6rU8tWH1/H9jFRVFXnnHpqXGD+9o8riheXN/rwWYb1+sBgAAAHzbAm2gQciA/KnD29q1auy0WyIbZcx5345VrZr72lur9HlYQYapM2dyspK83dqKdg9D2j/7z3f+8095BvXravdqUSJ73w/Cbh1+173WkJ9Psqhfp/ra5bON1/krEhTo07398kXTonx+ywkXH8P+jT6/8l/654f2rKtZraLjNyx9pCP7NhQskFczJ0vm9Pt3rv5rWN/4n99zQScvtWHVPPnTHJ/q26N96xYNjSEPScuY9vKF0+IaZu8bv3k7MyeP7N29nfGvkHTXji0XzBrvossqMQiJpNh9YCkzOzctTZvmszFn47/P+B3a/VuNRUV66WNG9B8+uKBu9NcAABAASURBVJdjOCN92tRTJwwb3L+rsZDY/WtM3qZEJy81oHenw3vX/1LO+UUH8mf+0bTeiYNbjXNhlJbNG9jFROTbCxPae+GPsqWLzp813u4rkojSojkT16+Ya/zCN2/dpacnj/vTricvr+D1aTWE3Lmy79+1tlyZYo5Broa/19i3Y7V8P/oWuxUf7Oqm8R4QdjUuVKh//jWhP7+FR4L4cdcumy1xGbu7YGi2i7Y2rZlv1264WHtVc7mahosvFgAAAPiWBbPkZgffvmfPnt+6fff2nXsfPnyIFi2qDKGnSpHsi2POU2fMb9e5j/5Qeuktmv6uWc3t7dtLl67ef/goedIkyZImCuBIuJH8sTdv3bl0+Vq4cGGld5QwQTwX130E5GNIKbp3/+HFS1c+fPiYKGH8BAnihg8XTvOvN25ut2/fk08uiahRIkePFjVlymRmXvDa9ZsXL1/9LnVKxx6gnUVLVzdq3uGfHc/tl4CCl5fX5SvXr9+8JWUjWdLEjn11KUKZvi+kP1wwe3yxwgUkcefu/bPnLsaJHfO7NKlCh7bsyhqdu7vHpSvX5AuJGSNagvjx4sWN7dc4gp9IsXnw8PHtO3fv3n0QOkxo+f7lT/PtPpo6qWLnLlx+9+79d2lS2kUWPD09pepdv3FLutwZ0qVxeq9QR/KtXrh4RYpu2jQpfQv3PHz0+PyFy56eXvHjx0mcKEFASp3/vHr95vyFS0+ePo8fN7aUfJN/mp+4+GIB</t>
  </si>
  <si>
    <t>AMC/TU5Ijh47efb8pVNnzkeLGiVjhrTpvkslQ4+u1/zetmPvlWvXJVGmZNG4cZzc7v3Bw0erPt3n206E8OHlBDh9ujRfPKEFvmVBJdDgD9Lxzvx9YeMyeKcOb5O+uob/PqeBhi/u5VugAQAAAIHP0hVr7W5Up0gIYO6MscZJlEYeHh7pshZQnYgObZp2bu/kOtwDh44VL1tdc6lShVKjh/cPGzaMBvwHBc7FIANi3sLlMpj/5o3b1BnzjFGGUiUKE2UAAAAAgoIRoyf1GeBzq6lyZYrFjxf3/fv3Z85ekBjBjZu3fyxYbun8KU4vE966Y6/eiRg3cUbblo1dzHjNmiWD8UZdnp5eN27dvnDRe53sJcvXyijXysUzwoThwkn89xBosNd/8CinN6fo0LqJBgAAACCw8/T0HD5qomZbXHzu9LExYkTTn9qz72CZit5LaA8ZPtZpoEHdEE3dQez1G7f1G7dJnMK3N+rRubXjAlgSX2jWqsvuvQckqHHw8DHfli0HvmWBeTFI/3F6NVTLZvV9u8UAAAAAgMDk8NGT6hbdg/t1NUYZxI95cvbv1VGzXf7w4OEjux3vP3i0dv0WSdSpWUUFCKbMmKf5UaKE8SeP+1Olt+/cpwH/QcxosJc4UYK/DxzRH8aPF6dViwZOb3aA/66IEcIb71kQwtzKl6FChTLu9f9fehAAAAD/By9evlSJGzfvON51rnjRn5ev2hAzRrQ7d+/Hif3ZWo9Ll69RCYlHPHv+YvfeA3v2Hbxw8Uqa1Ck0v9DPOc+cvaAB/0EEGuz9ObBH6xYNJTwpvcoE8eNKoMHC20DgG1GyeCH50fwobpxYl07v1QAAABCo5c6ZXSX6DBwRJ06sXN9nNT6bPFmSzWsXOO718ePH6bMXSaJ4kQJRokQuWaxQC62bPJw1b4maBGHewcPHVSJlymQa8B/EpRP2IkWMIBHH/D/+kDtX9sSJEhBlAAAAAIKUyJEj1atTTRJXrl4vXrZ6llxFOnXrv27jtqdPn7vY6/DRE5JfEjV+/UV+R48etXyZ4pKYNWeR29u3mjnyFqvWbKpSo6F6WLpEYQ34D+L2lgAAAADwGeklDRk+btDQMXbbM2VMV7lC6Tq1qkaMEN7uqVbte86cs0i2Xzq9T92WcvPWXVVqNpLE2JEDqletoOfUb28pmWMYrsx98uSpWhvC5wWbN+jZtY0G/AcRaAAAAAAAJ85fvLx46eqNm3ecOXfRuD1N6hTzZoxNniyJvkUCBIlSel9w0ahezUH9uqqNnp6eabP89PjJUwlP7Ny0VM+sBxp8ky9vrmaN6xQrXEAD/pu4LgAAAAAAnPgudcrunVvLz/0Hj/YfPLJrz36JO0hM4cLFKz8V+WXn5mV6rGHNus0qESlSxPWbtuuvkCplMgk0nDx19viJM1ky268r2bJZfdn44cOH16/fbNq6S92xIneu7BPHDIkXN7YG/GcxowEAAAAATHn58lWv/sOmz1oo6d7d2/3RtJ7aXrJ8TeOt6xzVrlll5J+9VVqf0bB84dQC+fPoeabOmN+ucx/NNmNi89qFkSJG0ID/JhaDBAAAAAAfnp6ePxYslyhl9qEjJzg+GzlypOGDe6VInlTSGz7NXLh0+ZqKMiRJnDBHtsx2P2o1h5lzFj1//sL1W9erU61F098lceHilcbNO3h5eWnAfxOBBgAAAADwETJkyAcPH79+47Zg8Urf8iRLmsj4cNHSVSqxYtG0zWsX2P0M7NtFPbt4+RrtSzq3a5EmdQpJrNu4bfK0uRrw30SgAQAAAAD+Ua5MMc12b8uBf452nFZw9vylLdt2S6JU8UKabQbEjNmLJJHr+6xJkyRyfLWypYqqxMQpc7543Xq4cGEnjRmi0p17DLx5644G/AcRaAAAAACAfzRvXFdd7zBk+LgKVestWLzy9NkLDx89PnDo2Mgxk/P+XFZlK170Z/m9fee+x0+eSqLGr784fbXIkSOppyRysW//4S++e6aM6Vq3aKjSbTv11oD/IAINAAAAAPCPpEkS7dm2Ul3CsHvvgSZ/dMpXqHyaTPmKl63eu/9w2ShhiPUr56qVGmbP97lvZZmSRXx7QT0GMWP2Qs2Edq0bJ0mcUBJbtu1esnytBvzXEGgAAAAAgM9IP3/z2oVNGtbOmiWDcXv8eHF+KVdSwhA/5Mym2W5CsXrtJs12tUXUqFF8ezXJrAIHEjV48eJl8ODB1PZgwYI5zR8+XLhRQ/uodOv2PdzevtWA/xRubwkAAAAAvvL09Lx5686Dh49TpkgaK2YMDcCXEGgAAAAAAACW4dIJ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xBoAAAAAAAAlgmpBS53H72Q3/FjRdEAfA3UQSDgqEf41lAm8a2hTCIwCZTlmRkNAAAA</t>
  </si>
  <si>
    <t>AADAMgQaAAAAAACAZQg0AAAAAAAAyxBoAAAAAAAAliHQAAAAAAAALEOgAQAAAAAAWIZAAwAAAAAAsAyBBgAAAAAAYBkCDQAAAAAAwDIEGgAAAAAAgGUINAAAAAAAAMsQaAAAAAAAAJYJqSGIOXHyzMEjxx23Bw8WPGLECLFixsiSKX306FE1/7p46eqWbbvkLYJpwdKnS9OuVWMNgEWOHDt59Pgpu41hQoeOECF88qRJsmROHyxYMC1gPnz4EDw4MWh8NXfvPVi7YYvdxpAhQoYPHy5B/LjZs2YKFy6s5l8rVm949PhJpgzpcn2f1UW2w0dPHDtxOnq0qBXLlzJup3YETV5eXjt37//7wOGbt+68fPkqSeKEyZMnLVe6aJzYsbT/i4VLVr189Spn9iyZM6XXKJ9B0p59B89duGS3MUrkyKlTJk+RImmkiBE0f9m3//CZcxfixYldumQRDbAagYYgZ/uufb37D3edZ2Cfzo0b1NL87uq1G4VKVH79xk09fP7iJYEGwEJbtu0eNHSMb89mypiuY5umxYv+7L9zzQcPH0njkC1rxvp1qmvAV3L5yrUOXfr59mzMGNHbt2las9ov4cOF0/xuxOjJJ0+dbdmsvutAw+atu4YMH5cmdQq9I0ftCLLWb9rerlNviX/Zbe/YtV+r5g26dvwjZMh//Vx64J+jb9y83bNrGxVooHwGQctWrps+a6Fvz5YrU2zcqIH+aBVXrdk4ceqc3LmyE2jAv4FAQ9BVtNBPIUOG0B+6vX137fpNOZJJunOPgffuP+zdvZ3mR2MmTFdRhlIlCmfOmC5NqhQagH+BnGKqhKen14sXLx8/eSpp6UHVqNtcOlG9urXV/K5g8cpyMp01SwYN+AbEjxcnUqSImq2Qv337VvX0pKhLB2/x0tXrV875P3TwdNSOoGnwsLF6bFc6Y1kyZ4gSOZLEwpYsXytbRo6Z/PDR49HD+331eQSUz6DD6dF/5eqNN2/dWbl4hr+nNgD/BgINQdf0ySMcY5+HjhyvXruZNFt/jZvaoW3TCOHDa36h4hRyqJszbbQG4F+zd9vKECH+CRS+fftu6/bdrTv0kso7auyUooV/yvNDDs2P3N09NOCbMWX8MOna6Q+9vLyOnzzTteegA4eOHT56YtTYqW1bNtL+HbVrVilcMF94wxGQ2hEErdu4TUUZIkYIv2rJTGM3vk+PDjXqNjt2/PS8hctzfZ+1Vo3K2v8R5TPIihkj+v6da4xbnj593qZTLwk0SGnctn1PuTLFNOCbwaVc+Mz32bMMG9RTpf/ef0Tzo5cvX8vvH3Jm1wD8H4ULF7Z0ySJb1i2UE2J52KBpu5evXmtAICKRtexZM8mQnbrqod+gkSdOntH+HfHjxZGjYfq0qTUEVe/evW/UrL1Kz5422m6yQLy4sRfNmaja2+F/TZIomPZ/RPmELnr0qBNHD1HpTVt3asC3hEAD7CVOlEAlLly8bNx+5+79Dl36FSxROVq8tFlyFanbsPWOXfv0Z8dPmlmtVhMZZdK8Z3BtkHTN31uY3FdIIFZ26dSt//ETZ8pWqiPZatVvuWXbbvWs29u3f44YL9sTpcwuP5VrNJw2c8GHDx+Mr9Cz71B5hf0Hj8pgV7NWXeRd5EXKVKw9dsJ0xzOA8xcvjxwzuULVepInVYa8suPevw/Z5fniZwa+NUkSJ+zXq6NmW05v+469xqe27djbtGXnn4pWlPJHo1FrAAAQAElEQVQslah42epdeg569PiJenbD5h1SC9QMzIlT5khahun0fakL+HaECRN61NC+Kj13wXLjU2aOFLqNW3ZIBsmWPlsBCczZHQKWLF8rtaBLj4Hal2oHAqttO/eqS0FbNW9QIH8exwwyttyscV2JNWTKmO7hI++2NOBnMuL9e/eJU+f8WLCcam9btOl2/cYtuzyUTxhJq5gieVJJvHFzM26Xs18pY3UatsqRt4QUJ2nrKlarP3rctC/Ofzl99kK7zn1Klq8pBVWdJ8txXzYa83DWDTO4dAL2tu7YoxLJkiXRN67bsLVR8w76Ko83bt6WnxWrNzRtVKdfzw7BggU7ceqsHO3Us9LJMS6b9MV9ZeODR49ldzlgz12wTOVcvXZT1szpCxfMd+HilRp1m1+5el1/QTlsy8/qdZunTRgWLZrPDTJ27zsgx/gQIUOuXf/PcuV79h1UP/Nnjdc3njx1Vrpb+kM5PMtby8+A3p2aNKxt/jMD36BypYu1au89KenCpStqi6enZ7vOfWfOWaTnkYItZwbyM3vu4n07VidKGF+Kt15/pa7JT+pPC6xQF/CtSZM6RY5smSWubVyD3eSRQpk6Y96osVNUWsq2dNvkp0/39i2a/q42Xrp8VWqEuhbaRe1AIKafS9SrU823PO1aNe7YtpneDAb8TMb7NTv3mTN/qUr7tLer1ustsEL5hJH6v0uiSMH8+sb7Dx7VadBSDvT6FnVyLqMOy1ev37J2oW8Li0hEwG7NeDlPloO+/Mi5dPEiBdRGzrphBjMa4EPC6vfuPxw2amK/QSM12xWJeT5dHCtRRjlASv2X8dJFcyZePr1v99YVlSp4r3U8buKMZSvXSaJn17Z7t69Sh72qlcpK+u+dq03uq5Ns8pM7V3ZpetKnTV2pQmkJizZs3kE1oMMH9zpzdMex/Zu6d24tDyXS2df2UY2kvZNP/tewvvt2rJo3c5z6PNKcHfp0R08ZGahYrYFmm3m4eO6kc8d3zZ0+Rk2JlAHeM+cu+vUzA9+UqFGjqGJ/7rxPH2zztt0qylCrRuXlC6eePrJ9zrTRqjxLIZ86Y74kqlYsI3VWTQNu2ay+pJs1rqNRF/Ct+j5HFvl9/MRp9dCvRwop0lLap4wfev7Erk1r5qsp6D36/un0WgzfagcCNz0okCB+XN/yhAwZ0rELFJAzGRl/VlEGiW4c3L3uyL4NrVs0tIsy2KF8Binv3r2TGKv6kTPbnbv/Hj1uWgFbN14KW8liBfWcYyZMV1GGnl3b</t>
  </si>
  <si>
    <t>bF67QIrc6OH91HVnEiDYun2P09d/+OixijJIAZ45edTJQ1vXLJsl5Uo9O/BP+/XXOOuGa8xoCLq+z1siVKhQKu3h4WF366aJY/+UHotK9x04QrOFHtavnBsvbmxJx4gRbdLYP5+/eCnx+E7dBpQqXli2y0+kiN4rhMeNEzvdd6nM7xs2bBj9fQvkz7N0/mQ9zirDAhIKlYQ0TzImoDa2+aNhyJAhevYdOn3Wwnp1qttdprh80TQZ7JJE2jSp5KnMOQtLeufu/d9n9z4x/WvcVDXDcNuGxeoO2CWLF0qePEnun8pIesmyNem7tvHrZwa+KXJaLKNnp86cVw8nTZ2j2U4aRv7ZW50TS4ZiRQps2LRdjutHj5/SbOEJ+QkbNqxsSZAgrr/rL/D/ETtWDM3Wo5PT4tixYi5YvNKvR4qFcyaqBVPlQLBu5dz0WX+SVxs0dIxxIE7xrXYgcLt1+678ltMJf4ym+u9M5v1797adestTVSqWGTqwh8rWo0vrjx8/yiCzb+9F+QxS5L9cpNSvjtulG79+1Tz9lhOSbeyE6ZLo2LZZq+YN1MakSRJlzZLxx4LlJH3y9LkihfI7vs6c+ctUYt6MsaoXkChh/Ly5v79+89bK1RulGHt6etrd7oezbrjAjIagSyILam6S/OhRBqnn5csUP7BrrTEsqqZFNfi9pqr/ihx6f63s3VpJC3LZMBvQjl/3bVC3unE218Yt3gvbSOxTPzYrFcqWUIl9+z+7yksaO9XeKYkTJVBh/tev36gtx20DVs0a11XtnfJd6pQTRg8e/9egyhXLaAH7e4FvxIsXL1VixJBeyxdOHTqop/F0WdI/F/hR816r3N3Fi1AX8I1TbbtfjxTSDzTeliVypIh/2IbsZCDOtzUdENSo69j9173x35nMpSvX1MMWTesZszFDAV8kp/F/tOkmgVf1MGyY0Hu3r5Kwqd2FP8mTJlZnxb4d+n+rXnHdijmrl87UxxqV3Ll8Gkx3j8/Wd+CsG64xoyHoGjtyQPjw4by8vJ48fa6H23+rUblnlzZhwoTWsz16/ERN21u1dtPV6zeMr/D06XOVuH79ZoZ0aRzfwh/7JkmSyJjtou0680uXrtZp2Epz5tq1m8aHKZInscuQKlXyY8dPe9pWpvHw8JC0JDKm/84uW9VKZf39mYFvypWr3uVWrwsyiCE/Uqr3HzwqFUoO2BcuXJHzWlXOvbx87VZRF/DNunnrjkrEixtH8/uRQs0fNsqUMa1KyPl6wgTxNAR58ePHlR6OfnmOn/jvTOb8BZ8VuNOkSm58NmaM6CmSJ71CXwu24cAzR3eotERFnzx9Jk3W8lXrp89auGL1hj37Dh4/uDlC+PAhQ4ZM910q+Xnw8NG2HXslhnXp8tWz5y7+fcDndnIfP350+vqxYsaQH09Pz+Mnzpy/ePna9ZsXL109ePiY3axnHWfdcI1AQ9BVvmzx8OHCqfTvtao2+aPTkuVrx0+a+fLlqzEj+uvZ1OxBzbDYjCM9j2/bze+b0HAxpLSDFy56H56lDVq5eqPT3aURND6MGTOGXYYQwUPo6es3bqtEnNgxNV8E5O8FvjoZhbtx07ucqzWoNdvl60OGjxs3cYbrC30dURfwzbp85bpm64CFCxfWH0eKGDGi2WWI9enYIUOCBBqg2c5GZABGCpWEG6SkOc0j/ahz5y+l/S6VfiGqvq+eNl8+L9tmNEhP0u7VNNv0dQIN0Lyn2ISNHDmS/jBq1ChyrM+XN1ec2LEGDR0jZVXKWPWqFTTbRIDO3QfIib3mR0tXrO3R50/fIgt2OOuGawQa4E1in+P/GnTl2g0JPc5dsEyCoE0b1VFPqWUXROsWDXN/Wh7STsoUSZ1u98e+IQyXfgULFkyO7tJWFi30U/261Z3ubne+GDy4q2spI0f2+TwvX772LU9A/l7gq1NrLohkSROrRPc+f0oAUbOdv+b/8Yfvc2RJnzaNjN/2GTDC9V3QqAv4Nkk0/JitnKe1XY7ujyOFh8Pd3Z4/97nUyDi/F0FZgZ/yrNu4TbPd0CRmbueBhh27/q5Ss5Ekpk4Y9ku5kvp2/53JqFUnJR4h0eEQIUIYM7x9+1YDfCfFTwINmu1Gkpr3mpHvpWSq2QTx48UpkD9Plszp032XWn5nyVlESqNvMxrWrNtcv0k7lf4xT84fcmb7Lk3KnDmy7t57oFmrLprDVAjOuuEagQb4kFjDxNFDcubzPlJ27TU4d64calXYJIkTqgwxoke1WzlGGrKz5y/GjhUzbhznZ2YB2VeRBm7PvoOScFy0RoYaIkaMoObNmiRvpxJqyNdo+qyFa9Zvzpwxfad2zQP4mYGv5cOHD116DlTpX8p5X/37xs1NRRkKF8w3c8oofRKTULcG9Prg5durBbz+Av+G4X9NUtNz1MCd5vcjxdXPJziIK9euq4TxImEEZYV/9llPYeLUOXlzf+80z8y5i1XCeJm6I5PlM1MGn+t3ZPw2qeHiC+nanTl7QQN85+HpqRJRo3ivrXDw8DEVZejYtpnxDqwvX71WSzN6ejo/9I+xLSEpsYl1K+bo5wCa9x1VfRYQcXG5pSPOusFikPhHqpTJ/hzYXaVbtOnqYVvxJXToUGqx7nGTZrp9HlMfPGxsoRJVMuYouGvPAacvGJB9lcyZ0svvTVt3nv78KLt5666filbMnqf48L8maqZJU6suzZ06c77np0ZZs80tnzpj3rYde+/eux/wzwx8FVKkh46coM4tZHAjeTLvKyf1m1xWKFvCGGW4cvW6yul40vD+nc8aUdQFfIOk8R81dopmu25CH0P265Fi4eKVcsKtP5SD3dgJMzTbCJ5v95ZX9NqBQC9Z0sRVbCvVrV67adrMBY4ZZKNaxK5ooZ8SJ0rg4qVMls80qVOq7ZOnzzNmW79xm8kL3yifQZOEotSIgvg+u3fM68TJs+qhlGHjOtAbNm1XCaer3spGdUfMAvnzGKMMMmKxeetOnzxevg5OOOKsGwQa8Jm6v1VV</t>
  </si>
  <si>
    <t>gfkz5y6O+9Rs9ezaVrMtkVW3QetHj59otuvAV63ZpO63JI1Rgfy5fXvBgOwrmjeuqxJ1GrRSy1VKe3ri5JmmLTur7b9Vr6T5RZcOf2i22GrrDr1Ui3bn7v2un+7lW7F8qYB/ZuD/QI7Q6mfjlh0zZi/qP3jUj4XKq3tcSwesa8c/VLYE8X2uNp+/aIWcK6j02fOXipetodL6zSlEBNti0bv3HpDxNLWduoCvSAblVCGX/ti8hcuHDB9XsVp9NVNdjBraR85QVdqvRwrptv36W+Pnz19IWg4EzVt3VQNu3Tq18u3DONYOBHrSAKol9Nt26t2oeYcjx06+f+8ubaA0oVJm1K0oJcOAPp1cv47J8hk2bJgmDWtLYtzEGXPmL1VPHT9xpmW7Hl/6pJTPoOLxk6f60V9+1m3cNnPOorKV6qgCkyJ50uzZMkkiUaL4Kv+c+ctUD1/69mvWbZZirLa/eu3kWgYJs6r4wqo1G+XcWG188uRZzbot1Emy5h108NtVPJx1B3FcOoHPhAgRYtSwvnl/9l4Mtle/YWVKFpFx0SKF8tesVlFaMYnHp874o4QepcnQ4+szJo10MQQUkH1F3Dixxo4c0KxVFxmAlcC/NDdvbCszqWdH/tnb9TCCo/w//qA+j/pJkzqFWqVJ/F77VzVrK4CfGfg/0LtbdiTKsHb5bDWdQbPNAy9epMCGzTv27DuYMEV2GbC9eu2GWuRJXTYsZfvV6zfq5ttp06SUh1LsM31fSMaKp04YRl3AVyTHIN+emjl5VMnihfSH/jhS/H3gSLK0P0iR1k+gG/5ew/FuFDrH2qEhsIsfL876VfMqVPldytKipavlxzHPkvlT9JV3fWO+fPbp3u7S5atbtu1u0aZb7/7Do0SJbHINSMpn0CHxVqfbJeY1b8ZYNXWxQL7c6hA/YvSkydPm5Mie5fCR4+rYrbaf/dTu2ZFmsGuvwZIzQ/afs2bJ4P7eXbWQUhfUmYMUyASGtU6/iLPuII7/XJDzxeqa7rtUHds2U+nO3X2u9x49vN+U8UOlodFskx1U/ZcOzO6tK7JkTq/vGyKE94sbp2mZ3FffI5jDsjLVq1bYsXGJWjBCmh51bJamau70MbVrVvnnrW3r3AYPZv/XqY8UwvBXy+eRQ75aRFq1d9I6D+7fbXC/rn76zMA3QgqwHJhLlSg8fdKIM0d3pP781mjjxWNEbAAAEABJREFURg3UL2WXcIOcK0j1WTp/yua1PpOBd+zcqxKD+nXVz5gvXPS50Rp1Af9nvh2kpHAWyJ9nQO9OV8/+XbZ0UbtnzR4pbEeE4YN7qUqhzqGlBo0Z0V+OAnafIaRhQT6ntQOBXoZ0aaSt69SuuZraYNSkYe0LJ3cbg1MBP5MJGTLk1PHD1J3/JI906uR9pRGWJlczVA3KZxAULJjzZRf1htF49I8aNcqKxdNV4ZSj9o5d++R34YL5Du9d37en96SGA4eOPXj4SBLBbaVIX3y0cYNa+sSuY8dPSwspJXDIgG4nDm5Rp83rNmxVz3LWDTOC+bbu6H/U3UfeMyHjx4qi4d/x/PmLS1euhQsbNlHC+BJr/7/tq9kmuF69euPd+/eye+xYMX1rc82TRvb6jduxYkaXwYSQIUP+G585CKIOfpukJN+8dcfTyytlimSRI0V0kVMiEV5eXjIEZ3eLNerC/xP1yN/MHykk57nzl2JEjyYjzCYPKL7VjqAgiJdJ+b8/evz0wYOHb9zeyjmD9Ij8N8pqsnw+e/b86vWbESNESJUymfk3Cmrlk3bSNeniPXj4+NbtOxEiREiRLEmYMKFN7vj27Ts5YXj+4mXSJAktvBEPZ92uBcryTKABgJWog0DAUY/wraFM4ltDmURgEijLM5dOAAAAAAAAyxBoAAAAAAAAliHQAAAAAAAALEOgAQAAAAAAWIZAAwAAAAAAsAyBBgAAAAAAYBkCDQAAAAAAwDIEGgAAAAAAgGUINAAAAAAAAMsQaAAAAAAAAJYh0AAAAAAAACxDoAEAAAAAAFiGQAMAAAAAALAMgQYAAAAAAGAZAg0AAAAAAMAyBBoAAAAAAIBlCDQAAAAAAADLEGgAAAAAAACWIdAAAAAAAAAsQ6ABAAAAAABYhkADAAAAAACwTLCPHz9qgcjdRy9eub2PFD6MBuBrePXmnRYsGHUQCAjqEb41lEl8ayiTCEykPEeKEDZ+rChaIMKMBgAAAAAAYJmQWqAjoc1AFg0C/kPu2n5TB4GAoB7hW0OZxLeGMonA5K4WCDGj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hNcDBq9dvFixeIYkC+fKkSplMEp6entNnL5RE4kQJihUu4HSvzVt3Xb95K2GC+CWK/vzw0eOVazbKxiyZ0n+fPYtvb/Tx48fpsxZ6ffBKlSJZgfx5NBP2/n1oz76DlSqUSpE8qdMMx46fPn32/LPnLzJlSJs1c4YoUSI7zXbj5u0Dh47duXsvZfKk2bNljh8vjgYEwMuXrw4fPXnt+s03bm7JkyZOlzZ18mRJnOY0WfZu37l38vS569dvhggZMkWyJFKYY8SI5jTn06fPT505d/rM+XDhwkmFzfNDjhAhQmimuf48V65ef/7ipYvdY8WMIc2CZoLJuqmbt3C5fAktm9UPEya0hkDk5q078xetyPV9Vt+afZN15MWLl7v3Hrh2/ZZUjexZM0nh</t>
  </si>
  <si>
    <t>Dx7c+fCJX8ueP/blmBIEUa7wtdCK4j+BQAOcePLkaYcu/SQx/q9BKtDw9t17tUXs3roiQ7o0jnvNnr909dpNBQvklUCDdHhU/hzZMm9eu8C3Nzp89ETbTr0lMWxQTzOBhnMXLpX+pZYkMmdK7xhoeP78RaPmHTdt3Wnc+Newvr9Vr2TcItGN3v2Hjxo7xbixZrWKI4b0ChmSGgH/mDF7Uffeg1+/cTNubFC3RrdOLSNHjqRvMVn23N6+7T/4r3ETZ9i9y+D+3erXqWZ3EjB5+ly9biqZMqabMHpQ2jSptC8x83k6dO23bcdeFy8i+UcP76e5ZLJuGi1csqpZqy6SaPh7DQINgYlUk+q1m545d7FF098dm33z7fOyletatu1urHRS8pfOnxwzRnRjNn+UPb/uyzElCKJc4SuiFcV/RYhevXppgcgrt/fyO1KEsBoCQAYwJ06ZLYnSJQpnSP+dJNzdPUaMnqSePXjoaM1qlRyHTJev2nDx0pVkSRNXrVQ2TOjQDx89Pn7izN17D6pULBMtWlSnbySvKWFOSUwcPThs2C/81+QFy1f+/YVtcLVShdIpUyQ1Puvp6Vn1tybbd+2TdNFCPxX6+cfnL149e/Z8/abtMuKaLUtGPefgYWOHjZqo2drTX8qXDBUypBo6vnj5avkyxTUETBCsg9IlbtGmq7uHhxybq1Yumzd3Trc3bo8ePzl6/JTUiIrlS+k5TZa9Nh17T50xXxJpUqeoUrFs5ozpbt26K9GHLdt2RYsaJUf2zHrOLj0HDRwyWhLy1jV+/SVxogTnL15+8PDR+o3balSt8MU6ZebzLFq6SsY6XLzIDzmzFSmU30UG83VTJ2Mav9ZqotKtmtf/4h8S+ATWeuTh4SEnnXv2HZS0jMX9/FNeuwwm64gEv2rUbS6VToa8qlQqmzBBfKlrUvLXbdgmR4dw4Xy+N3+UPR3HFDucX+koV9+IoFkmaUUDq0BZnoNJDEkLRO4+eiG/48eKoiEArt+4lfWHopptRsOvlctptospEqfKoWfo1K55x7bN7PaqVb+lmtGwdL53SPLQkeNFS1eTRLdOrdq2bOT4Lm/fvkudMa93XLZqhbEjB2gu2YVd588aX7xIAWOGFas31G3YWhIyuCpBUPX6vzdqvWHzjogRwl84tSd8uHCabTp6xhwFJSFvOmpoHxUoHTpyQv/BoySxac18Fxd6wIygVgel/58geTbNNnln8dyJUaN6/+FeXl49+g5VUxIWzB6vrjYyWfb2HzxaolwNzTYhYkCfTirby5evpOP994Ejkr50eq8abbh2/Wa23MUkUbJYwdnTRquZDnpFGNinc+MGtVx8cpOfR/5AD3cPh7/6XeGSVSSMKCcoOzcvsxv9sGOybirv37uPHDN50NAx+pZr5/arbzVICZT16MTJM81adZFROPVQxuL6dG9vzGCyTH748CFnvlJXrl5Pnzb1qiUzo0f3DmTv2LWvQtV6kujVrW3LZvXVC/qp7NnhmGKH8ysd5eobEQTLJK1oIBYoyzOLQcI/pBtw8tRZ13mkXVBXN8yet8Rphk1bdqrAgYzEungdiX3WqNOsXuO2dvPS7UyYPEt+yzuqtkxIOHbIgO6abY7Z8pXr1ca5C5aphIQ/9OlYEgdJkjihJNQwMmDe0WOnVGJI/256fzhEiBC9uraR46ikDx85oTaaLHs7d/8tv2XfXt3b6tkiR440qG8XlT556pxKjJ/kXealqz9mRH/9eopypYulSZ1CEtt37nP9yU1+HjkPiBIlst3PgCF/SZRBnp0/c5zrKINmum6K02cv/FT0F2OUAYGDDGn0GTCiQLFK+vmxUybLpAzlyfmxJNq3bqrOj0WB/Hlq16wiiUlT58gwmtpovuw54pgC31Cu8P9HK4r/IgIN8Jt6daqpRNOWnd0dxjnt1LdlvnHztro+ws68hcvlt7QjuXNld/EiZ89fWrdxm2abIbZ3+yqned69e3/g0DFJ1Krx2UVfiRLGVy++bOU6tWXv34fkd+GC+eLFja1nCxYsWLUq5TXbHHi9bQXMePLkWaaM6aSznTHDd8btoUKFUsfIW7fvqi0my567u7tECn4u8KPdKIEUZpW4e+++Zivzk6fPlUTXji2NlybJC65YNP3U4W3TJ4/QXPJ3XZBBjznzl2q2mU3yt7t8Ez/UTbFuw9YLF69Iom6tqjMnj9IQWEhZUhffSU1Zs2xW1iwZnGYzWSYPHj6u2YJxRQp/ds1OxfIlNe8K8uDYCe8jjp/Knh2OKfAN5QpfBa0o/osINMBvvs+epUObppKQkKq+aoNvKlbwuTp9yYq1dk/du/9QrQ1Tv051aU1cv470u6ZPGrF2+WzfFre/eOmKSmTNbN/y5syRVTMMAu/ee0CzzXK3y5Ylc3qVkLCIBphWrkyxnZuWXjq91269IglAqGGHdGlTqy0my173zq3371wza4p9N/vw0ZMqoSYsPHj4SD3Mm/t7+X3/waM16zav37Rd4hpx48RKmCCei9mMfvo8dt6/d2/Xua9mCxHqUytdMF83laKFftq0Zv7wwb0iRoygIRCRM9o+3dsf3b9JlVinTJbJY8e9pxFlzJDWrpBnypBWJS5euqr5vewZcUyBbyhX+FpoRfGfQ6ABftbmj0aqq/PFCyhixYwh3TBJzJqzyC4eufxTILNyxdKaSxL43Ld9VfkyxV3cse/ps+cqEc3hWu6oUb1vovP4yVMvLy+3t2/VRn2e2D/Zovjs+PDREw0IsMHDxqpEnh+8FzcJYNlzd/fo3X+YZjvPSG+754tEFtRTYcOGKV62etos+X+r90f12k0zfV+obsPWz5+/0Fzy9+eZu2CZmm85sG8XeWvtS0zWTbWlzR8NF86ZwLXHgU+oUKGunT/QounvkXyPH5kvk0+ePrNls7/ba6RIEVVC1Q4/lT07HFPgG8oVvgpaUfwXEWiAn4UJE3ri6MEq3bB5BxnhdJG5VvXKmu1arF17Dhi3z7It3CBhiDix</t>
  </si>
  <si>
    <t>Y2kuBbdxnef16zcq4bhonN7AvX33/s2nVR6iR3Nsznxu6vv27TsNCJiZcxap6xpq1aisgvQBKXsfPnxo0aarmh8xbHAvNf5w//5D9WypCrUOHDomAQh5I7UqxIrVG4qXq+H6yiZ/f55J0+ZotoUhirq804TOZN1UCe5iFYh98Z9rvkw+t917KHasGHbZ5EihqoCbm/dL+ans2eGYAt9QrvC10IriP4dAA/wjc6b06q4TFy5ecX0BRf4fc6m14pYarp44cfKMuhK75q8VNSt4eX1QCcch1nCfZoV5enjo2UKHCmWXLXx4n2zuHl9YeAJwbf6iFa3a99RsFxf07eGzHLS/y56np2e7zn0WLV2t2QJzVSqWUdsfPHqsEleuXm/VvMGVs/s3r10gv5s2qqPZKubYidM13/nv8xw+ekLV3CYNaruYYeT0jVzXTQ1Bnvky6enp5TSbZls2VX572CbQBaTscUyBbyhX+GbRiuJbw/AR/Kl1i4Zr1m2WUdbBw8aWKPqzhB6cZpP4a/261QcNHTNv4fIhA7pFCO8dKF1o6zVJAKJA/tya7d6ZIx2iFdmzZipZvJBmTpQokVTCze2t9nl89tWr1yoh7VroMKF9sjkER19+yhYh/BeubAd88/Hjx6EjJwwY8pdmG/NfvXSmOmBr3kdun+mIfip7b1vtJ0oAABAASURBVNzc6jduu2HzDs22eMGEvwbrT4X9VJhle8+ubVQ6dOhQEto4eOiYRATmLlgulfT02QvLHdZqqlCuZPJkif3xeebM91kaWi3RZLRu47YjR0/YbWzZvIHJuqkhyDNfR2LGiCbxtTdubx1f5OXLV7Zs3geagJQ9jinwDeUK3yxaUXxrCDTAn8KECT1u1MCfinpPSWjUouPOTct8y1m1Ull1v7oNm7ZXLF/K3d1j9tzF8lACEGoamDRqw/+yDzTUrVXVfKAh9qfrL54/f2G3YOSzTxerh7G1ZREjhH/9xu2FrRk1emGbRSYiRYyoAX7n4eHRpmNvdTuG9GlTL5432bh+cvhw4fxa9h4+evxrrSbqji1SiUYN7Rvm0/FYxIsbRyWqVi5r3Ct48OBVKpWRQIOcQ7x79/7CxcuOlStd2tQZ0qXx6+eRQ/7MOYs02/1oY8Swv7Bzy7Zd02cttNtYt9av5usmgjjzdUQV/mcOC5F4enqquyBHtl1mHJCyxzEFvqFc4ZtFK4pvDYEG+F+mjOk6tWsuQYQLF68MGzXBt2xJkyQqkD/Pjl37Fi1ZLYGGrTv2qFZMHxSVYVi1uqSR3o8yI06smCrh2Giq1WjUjQZFggTx5NM++7REjU7fEsvhijXgi169flOnQcttO/ZKumCBvNMnjYwcyf646Keyd+nytfJV6t6990CzLZHYrVMru5uzxIntU+bD24YdjGLH9Hnq9Zs3USJHdqxcslHze11YuXqDStSrXU1zIBXW8Y3kHCJOWLN1EzBZJuPF8z46PH5svzzY809npbFttcP8ccERxxT4hnKFbxmtKL4prNGAAGndomF62937/hwxfvuOPb5l+62698SHTVt3SquxZNkazXa/XD3AGStmjP0719j9tG/dRDMtWjSfdWV27dlv99SmLd430fwhZzb1MEWyJPJ745Yddtl27vbeMWaM6Anix9UAv3B7+7Z67aYqylC3VtUFs8Y7Rhk0v5S9q9dulCxfU0UZxozo371za8dbwMb/lPn0mfN2T925e0+zXbshrykVzbFyyUbN73Vhq62Cy5mB09t3S4V1fCOp2ubrJmCyTCZOGF9+Hzh0zO7uKnv2HVSJLLZL+QJS9jimwDeUK3zLaEXxTSHQgAAJHTrUuFEDVfr1p5VjHZUoWlAtY7t81YZltivGa1WvpFknePDgjerVlMSsuUuMN9o5cfKMuhXfT/lyqy2/Vi6ned9A+LTarrx/7z5/0XJJFC38kwb4Ub+BI9WxuWPbZsMH9wrlbHUlzXTZ8/T0rFXvj8dPnkp60ZyJNX79xemryaG3eJECkliweKV+HaPaXd3SpUD+PJpLfq0Le/cd0gz3tTbJfN0ETJbJcmWKq8TaDVuNuy+2rf4jIbbkttPWgJQ9jinwDeUK3zJaUXxTCDQgoNQFFK7zhAsX9jdbZKFtp96a7XKsooULaJZqaGvOpHvWtGVndWO/m7fu1G7QSrN1ySqULaGylShWML5twliNus3VXYJlOPr3Rq1VlKRJw9oa4BcnT50dP3mWZjsw58yRdduOvXY/kkHlNFn2ps9eqO5kWbJYwRAhQji+4K3bd1XOdrZZP3JgbtCk3ZMnzzTbgblD137qxhDlP51G+MZPdeHuvQcq9pHuu9SaH5msm4DJMhkvbmwVgOvUrb+MyGm2dVhHjJ60buM2Sbdq0UCfAWS+7LVo061B03ZjJ/xzrxaOKfAN5QrfLFpRfFNYowEWaN2i4eq1m1TvyDfVq1ZQ/TFRr051y5d/k+CrhE4nTp2zaOlq+UmfNrX+ecb/NUi/uU7IkCH79+5Ut2Fr6YylzZLfmK196yYZ0qXRAL8YMXqySkhXvGK1+o4ZJF4wd8ZYzVzZkyN9n/7D1UY53qtDvp2BfTo3blBLs92ZpUXT30ePm7Zp686UGfLIC964eVsdmCVPkUL5NZf8VBfuP3ioEmnTpNT8yGTdBMyXyZbN6q9cvUFKe/Gy1VMkT/rixUsVCMuXN1et6pX1bObLnlrG1c3tbbPGdf20L8eUIIhyhW8WrSi+KcxogBPBg/sUDD2i6ZgwCh061ITRg+32tZMh/XeZMqZTacd745mkv7mzT6EN6td1yIBu6hoN1UhJ07l0/hR1RbpORnrXLJulFqFR2WQX6Zh1bt9CA/zo3IVLrjMEM9SIL5Y9Ocy7uARJCR4ihJ7u0739jEkj1VCAvKDsK7VscP9uKhLxRebrwvPnPgtEpU6VQvM7k3XTKHhwV20O/tNCBPcuw8GDOTlYmCyTqVIm27djde5c2TXbpB51ftygbo0500bbRbFNlj2V</t>
  </si>
  <si>
    <t>Idjnxy+OKfAN5QpfF60o/hOCyQCaFojcfeS9qEn8WFE0BFVSpGVcV4aXEyaIlyB+3BCGXpmdR4+fXLp8LUb0aNK0MaxqFeqgGZaXPTlFkBeU84aYMaJrfvf/qQvm6yaoRybLpATXzp2/GCZ06KRJEkWOHMm3bAEpexxTFMqkI8rV10WZdI1W9L8lUJZnAg0ArEQdBAKOeoRvDWUS3xrKJAKTQFmeuXQC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YJ9/PhRC0TuPnrxyu19pPBhNABfw6s377RgwaiDQEBQj/CtoUziW0OZRGAi5TlShLDxY0XRAhFmNAAAAAAAAMuE1AIdCW0GsmgQ8B9y1/abOggEBPUI3xrKJL41lEkEJne1QIgZ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JqQEGR46dPHr8lN3GYMGChQ0TJlasGD98ny1KlMhOd9y2Y++Va9clUaZk0bhxYunb167fcvf+A0kUyJcnVcpkmi8WLln18tUrSVStVC5ypIi+ZTt99sLFS1du3roTPVrUFMmTZsuSMVy4sI7ZPD09d+05IJ/n40ctW5YMGdOnDRMmtNMXPHb89Omz5589f5EpQ9qsmTP49tcBX/Ty5avDR09eu37zjZtb8qSJ06VNnTxZEqc5b9y8feDQsTt376VMnjR7tszx48Vxmu32nXsnT5+7fv1miJAhUyRLIuUzRoxoTnM+ffr81Jlzp8+cDxcunNSyPD/kCBEihGaa689z5er15y9eutg9VswYiRMl0EwwWd1MVnMENQFprk3ua7JuInAz0/Y+e/b8xs07TndPmDBezBjRjVsCUq5M7vvixcvdew9cu35LPmr2rJnkQBA8OEOJgZyfjs6UWHwVBBrwmS3bdg8aOsZFhmpVyg/o3Slq1CjGjR4eHo2ad3j85KmkHz9+2rl9i3+e8vTs0KWfJDJlTLdl7YJQoUI5vuaadZsbt+goiaKFfqpfp7rT95VeR8eu/TZs3mHcmCRxwpF/9i6QP49xo/RS6jRoJe2vviVihPArl8yQ7oox2/PnLxo177hp607jxr+G9f2teiUN8KMZsxd17z349Rs348YGdWt069QycuRI+paPHz/27j981Ngpxmw1q1UcMaRXyJD/tMZub9/2H/zXuIkz7N5lcP9u9etUszsYT54+V1UxndS1CaMHpU2TSvsSM5+nQ9d+EkZ08SKSf/TwfppLJqub+WqOICUgzbXJfU3WTQRu5tveOfOX9ej7p9MXGdSva6N6NVU6IOXK/L7LVq5r2ba78QAkR4Gl8yfb9R4RyPjp6EyJxVcRolevXlog8srtvfyOFIHhL3/a+/ehPfsOSiJN6hRS4dVP1ChRQgQPLgdg2S6jpidOna1UoZTxiLt52+7Z85ao9ImTZ5o3/l0fUP0uTcoLF6+cv3j5wcNHMiyZO1d2u3eUwdhK1RvKi0s4YNnCaZEiRnD8VPJs6V9qSYhU0tLfKFe6WNIkCc+cvSAB0YVLVhUt/FO8uD4R07v3HhQvW10iqZr35IiyMhBx9doNactmzV1cuGC++PHiqmyenp5Vf2uyfdc+zRbdKPTzj89fvJJw7/pN2yUAbBeSgJ8EwToohbBFm67uHh5SWapWLps3d063N26PHj85evyUjMxXLF9Kzzl42NhhoyZqtmPqL+VLhgoZUg2dXbx8tXyZ4nq2Nh17T50xX7NVwyoVy2bOmO7WrbtSC7Zs2xUtapQc2TPrObv0HDRwyGhJyFvX+PUXGbtQdW39xm01qlYIG/YL/wUzn2fR0lUy5uDiRX7Ima1IofwuMpisbuareVDAsUwXkOba/L4m62ZQFhTKpPm2d8r0uWfPX3L6IoUL5s+RLZNKB6RcmdxXupo16jaXA5AMHVepVDZhgvhy3JGjwLoN2ypVKB24p4MF8XbST0dnSuy3L1CW52ASf9ICkbuPXsjv+LGiaPAXaSbUjIbHt0/bzb4+c+5ivcZtJGog6QmjB0s3Xn+q5u8t1q7fIj35Ldt2y8MZk0aWK1NMf1Z6XNl+KKoil/t3rpHjt/FlG7foKL0IScyaMqpMqaJOP9Xwvyb1HThCElPGD9W7bZcuXytYvJK8rLRoOzctVRtlaFcGeCVmsXb5bNkuW27dvlumYu0bN28XLJB36XyfOOuK1RvqNmwtCYn1SrRVEm/fvvu9UWsZSpV9L5zaEz5cOA3+EtTqoJyDJkieTRI5smVePHeimuzj5eXVo+9QNSy2YPb4YoULaLbpuBlzFJRE9aoVRg3towL8Q0dO6D94lCQ2rZn/ffYskth/8GiJcjU024SIAX06qWwvX776tVaTvw8ckfSl03tV1P/a9ZvZcntXtJLFCs6eNlrF/vSy</t>
  </si>
  <si>
    <t>PbBP58YNarn45CY/j/yBHu4eDn/1u8Ilq0hcT04Udm5e5noUwmR1M1/NgwKOZbqANNcm9zVZF4K4QF8mzbe9IkuuInJe0a5V4+aN69q9Tvjw4dTkzYCUK5P7fvjwIWe+UleuXk+fNvWqJTOjR48qG3fs2lfC2l7RAAAQAElEQVShaj1J9OrWtmWz+lrgFcTbST8dnSmx375AWZ65HgZmSaMwe+polT5w6Ki+/f6DRxJlkESdmlXy5c0liSkz5hl3lIGjsSMHqnTz1l2lD6Y/tXHLDhVlqFalvG9RBs37go5d8rt4kQLGweFUKZN179JGEidPnX31+o0kpDciUQbbq1VQUQaRKGH8bp1aaWoViU/XU0yYPEt+p0ieVJ16ComhDhnQXb3I8pXrNcCco8d81jQZ0r+bfkmRBOl6dW0jPRlJHz5yQm2cu2CZSkiB1KcRtm3ZKEnihJJQw2hi5+6/Ndv1Pr26t9WzRY4caVDfLip98tQ5lRg/ybsYy8nEmBH99RlG5UoXU7G87Tv3uf7kJj+P9MSiRIls9zNgyF9yHiPPzp857otzHU1WN5PVHEFNQJprk/uarAsI3My3vdIWSZ9NEjmyZ3ZsHvVLRANSrkzuu2ffQXVi0751U9Vn02wzwmrXrCKJSVPneHp6agikzB+dKbH4Wgg0wA/kpF8t63Lk2D8LRi5dvkYlfsyTs0rFMpqtHVETH3RlSxdV86YOHz0x5VNz8+LFy+atumq2npKMvvr2ph8/fpRTQ2mqVBTDSIIIKnH//kPN1hVRDytXLG3MVqxIAZVYYwuIvHv3Xk3PrlWjkt2rqSs7lq1cpwHmPHnyTKJacjjPmOE743Y5cqvj663bd9WWvX8f0rznKOaLFze2ni1YsGASZdNs11+o46u7u7tECn4u8KPdOK1e2u/eu6/ZirEKq3Xt2DJatKjGF1yxaPqpw9umTx6huWTy8ziSwYc5870nF3Rq11yP6PnGZHUzX80RpASkuTa/r7/rAgITk22vOH/BZwp6xvRpXbxgQMqVyX0PHj6u2YIjRQp/dv1axfIlbR/4wbETpzUEGb4dnSmx+FoINMBvXr70vjdE3Ng+95WQ7sH02Ys02zikhEVLFiukts/6tGSD7s+B3dUAb6du/e/ZOgwSdlXrR04cM8TF+uHSTi2dP+X4gc1NG9Wxe+rAQZ+JFcmSJpLfp86cVw8zZfis8xMpYgTV4J6zXZ928ZJPECRr5gx2L5gzR1bNMGoBfFG5MsV2blp66fReu7WOJABx5txFSaRLm1pt2b33gGa7wsLuFbJkTq8SasChe+fW+3eumTVllF22w0dPqoSasPDg4SP1MG/u7zXbxKI16zav37Rd4hpx48RKmCDeFy//Mfl57Lx/796uc1/NtkajmSmOJqub+WqOICUgzbX5ff1XFxDImGx7xVlb2y6nNO/evRs7YXqr9j179x8ucSu7WVcBKVcm9z1mu01Yxgxp7Rr8TBl8+pMXL13VEDS4ODpTYvG1sJYy/GDW3MVqqYVMGX1ahMNHT6hJUDV+/UV+R48etXyZ4itWb5g1Z1HXjn8Y2xEZ8h03amCt+i0l3aPPkKYN60ya5j0e26xx3R/z5NT87uatO2ptWwmgqj7e06fP1FOON7OMabs3lZpO9vTZc7UxWlT766CiRvWOd0j4w8vLy083CATsDB42ViXy/JBDs11LqR7qcwV1UaP4lMOHj56kSJ7U6au5u3v07j9Ms50opE+XRrNFFtRTYcOGKV62uhq5VaQOjhjSK2pUV5f5+fvzzF2wTFX5gX27yFtrXxLA6uZYzRGkBKT8mNz3vbu72ui/uonAzbHtFSdPe4eo5HQoe57PlseLHy/OlPHD1HyZgLT55vd9YjvtiR7d/u6bkT7dJlw/UiDQc3F0psTia+G8Dc7t3L0/RAifCS/v3r+/d+/hlu271VoMom6tX1Vi7oLlmu0AXLigzySo6lUrSKBBmrMVqzZI2viaZUoV/aVcSYmhLlm+dsOm7Zrt0tmuHf7Q/O7Zs+dVajZSaf36yVevXmu2UK5j/ui2ueWv39iWcvgUwXXsienno2/fvVfzLwB/mDlnkbquoVaNyirA/+bTbZyiR3M8DPtM53n79p3TV/vw4UOLNl3V/Ihhg3up+J1+HUGpCrXk3EKK63dpUp2/cMm76q3ecO7CpV2bl4cOHcq3T+jvzzNp2hzNdnZS1OWdJnQBqW5OqzmClICUH5P7vtVPkf1eNxG4OW17hT67W538JE2S6MixkzKiK4MZJcvXPLJvQ/JkSQLS5pvf9/mLl/I7dqwYdtmCBw8un00OB0JD0ODi6EyJxddCoAHOVazmfFK0NASjR/RXKzVIiyAdKs02nUGPnv78U56YMaLLSNHEqXPsAg2abcG8TVt2yI5qZsS0CcP8cSebJ0+eVa7ZUC0D8efA7np41dPTe5lJp8Oe4cN7n4a6v/ceufLy+qA2Oo7Hhvt0GuHp4aEB/jJ/0YpW7XtqtphX3x7t1Ua91IUOZd/5Dx/ep9S5Oyt1np6eHbr2W7R0tWa7TEMtgyIePHqsEhJlaNW8Qef2LSSs4D34NmD4uIkzpHaMnTi9dYuGmi/893kOHz2h6l2TBrVNTvnxd3XzrZojSAlIc21yX3/XTQRuvrW9Hz9+vHXLe+WdTBnTLZk3KVZMny7T0hVr6zdpJ4n2XfounT8lIOXK/L7qtMcxm2ZbxlJOtDxYXiRocHF0psTiKyLQAFOky5QsaeKMGb5r3rhu7Fgx1cY16zarRKRIEdfbZigoqVImk0DDyVNnj584o1+dpcSIEW3UsL71GrfVHNaqOX32wnKHZb0qlCuZ4dNkReXa9ZsVqtZT13p16fBH/TrV9aeiRfMepNKHp4xevPSOoUorJr+jRImkNrq5vdU+D6qqORGa4TQUME8O50NHThgw5C/NNqqweulMVeQ077LnMy3QzWFA4OWnUhchvH2pk+B+/cZtN2zeIemihX6a8Ndg/amwn64P</t>
  </si>
  <si>
    <t>ku09u7ZRaYk1SGjj4KFjcs4xd8FyCTT4Vq2SJ0vsj88zZ77PstJqeSejdRu3HTl6wm5jy+YN/FfdXFRzBCkBaa5N7hv6U1XyU11A4Oai7Q0WLNil03ufP38hJcd4fWjF8qW2bt8jgeZtO/bK4K3/2nzF/L4xY0STWPMbNyenPWpFrQjhmZsZJLg4OlNi8RURaIBzD26cDB48mEpLcFTaKcc8s+YuVgnpXDl9kRlzFo3M3NtuY5rUKVUi3XepjNsvXLw8/K9JdpnTpU1tDDRI96lCld/VbIghA7o1qFvDmDmObYlKtRCDnadPvS/WjWLr9cX+tJKlNLuJEyUwZnv2/IVKOK7yALjm4eHRpmNvteBz+rSpF8+bbFx7WY7ualrgC9uh1OiFbSah5r1qaUTj9oePHv9aq8mx494zHqtWKjtqaF9jsYwXN45KVK1c1rhX8ODBq1QqoxZPeffuvYtq5dfPI6cL+gymGDHsL7Dcsm3X9FkL7TbWrfWrP6qb62qOICUgzbX5ff1aFxC4uW57FaeL4BT6+UfptkniyrUb/mhjdeaPF+pAoJdnnaenp2pCI0ei6AZ+ro/OCiUWXwWBBjgXIkRw11OjL12+9veBI5ptsoM+EUunrhWXhq9X1zauF6XTRYkcWV/S2bhRT8uQaY06zVR67vQxJYsXssscN47PaaX0r+zmyj60zTOPZ7viI86nGRmOLZ1aPMzpKg+AC69ev6nToKUMC0i6YIG80yeNdDxYJkgQ78LFK88+LVCn07fEMly1KPWrfJW6KmrW5o+G3Tq1sgv2xYntU4zDO4T/Y8f0eer1mzcuqpWfPo9YuXqDStSrXU1zIGcPjm8kZ+dxwvqtun2xmiNICUhzbX5fv9YFBGJfbHtdiBzJZxKNp4f39O+AlCuT+6qzmsePn9hle/6pdxf705ECgZjro7MLlFj827i9Jfxp0dJVKrFi0bTNaxfY/Qz8tHLb4uVrTL5g4YL59u9cY/cjG9WzevcjZozoW9cvctr9SBA/rkrs23/YuP3e/Yfq0rXsWTNpn66wELv27Ld7hU1bdsrvH3Jm0wDT3N6+rV67qYoy1K1VdcGs8U5D8imSJZHfG7fssNu+c7d3OZSCrRfgq9dulCxfU53pjhnRv3vn1o5nuvE/ZT796a6uujt372m2azfkNV1UK/OfR9m6Y49m65tlzWJ/s0DRvnUTxzeSEKSfqpuZao4gJSDNtfl9/VoXEFiZaXv3HzyaI2+JRCmzH7XdqO+z3a/fVAl1bVpAypXJfRMnjC+/Dxw69vzzaNqefQdVIkum9BoCO9dHZ0osviICDfAPT0/PGbO9p2nl+j5r0iRObm5ftlRRlZg4Zc7Hjx+1gLl1+67qfkjfadOa+dmyZHSaLVPGdGpMVQ+CKHqsV93CJ3jw4I3q1dS8L/1Y4uXlpWc7cfKMujPQT/lya4Bp/QaOVMfIjm2bDR/cK1Qo5/d6+LVyOc37JtKnVTFT3r93n7/I+9YtRQv/pLZI5apV74/HT55KetGcierGsY7ksF28SAFJLFi8Ur8GUu0+a94SSRTIn0dzyeTn0e3dd0gz3BPbJPPVzWQ1R5ASkOba/L5+rQsIlEy2vYkTJZBy8vqN29IVny1/8/btu/GTZmq2S+fU6jwBKVcm9y1XxuduhWs3bDXuvti2hqW0pclt3T8Ebq6PzpRYfEUEGuAf23fuUwdj347E0mapp6TFsZtf4A9de/msw9Tg9xrXrt+SoWO7H3Vll4w8tGreQBILl6yaMmOe2mXHrn2dewzUbDfX1NuvhrazT/kTmrbs7O7uvRDuzVt3ajdopdn6bxXKltAAc06eOjt+8izNdoDMmSOrY+GUDCpniWIF1e1aatRtru4U7fb27e+NWqvS26RhbZVt+uyF6m5qJYsVDBEihOMLSodc5WzXuolmq2INmrR78sT73tRyUO/QtZ+av1O+THHXn9zk51FkiE9V+XTfpdb8yGR1M1nNEdSYb65btOnWoGm7sROm+3VfP9UFBFYm214pKmrQYtzEGXKyofZ99ux5/SZt1fq1fXp0UBvNlyvp70nRbd66q77F5L7x4sZW51qduvWXUWLNtibxiNGT1m3cJulWLRqYv+4D/1FfPDpTYvEVBQv4aPM35e4j76k48WOZWhQAjgYPGzto6BhJPL592sUaDbXqt1y9dpMkrp3b79sSDH8fOFKyvPdJXqUKpSaPG6pvlwP5jwW9A5+zpowq82nigwt6fhd2bFyS2TbbSjpaRctUU107OY+MECG8akYlvW3D4kS2KVuKtHETp85RaYnmqtMLsXjuJP16DfhDUKuDdRu2XvFpyoxTcs46d8ZYlZackl+ljaWufesmXTr8odmOuIlT5XDdox7Yp3PjBrVUukffP0ePm6a/oJR2ta8xjwtf/Dy6o8dPFSpRRTNdbe18sbr5qZoHBRzLjEw219HipdU+r3Hm9zVfF4KswF0m/dT23r5zL/dPpVVm6VzFiRNLrRyp2W6n1bFtM30Xk+Wq5u8t1q7fIoln9875dd9Ll68VLF5JfZgUyZO+ePFSdTvz5c0lhTxwr2xNO6mZOzpTYv8TAmV5ZkYD/Ozly1cqylCuTDEXCz3+kDObWmpryfK1+qqzmvd0HHFRtAAAEABJREFU1mCfEqaK3/kLl76YR4+ASgu1fuWcWjUqa7ZRLBVlKFgg77oVc4xRBjGoX9chA7pFjOC9kJ5qDaW9Wzp/ClEG+Mm5L5XPYIZyXr5M8TXLZql6oUqdlEA5ee3cvoXKIIX2i+P2wQ0RwD7d28+YNFINI8gLyr6ZMqYb3L+bmSiDmc+je/7cpwqnTpVC87svVjc/VXMENSaba5Uh2OdHFpP7mq8LCJT81PYmTBDv751rZBBFs40nqz6blKu508cY+2ya6XIVMqSTcR2T+6ZKmWzfjtVqyPrK1euqz9agbo0500Zz/6ygwMzRmRKLr4UZDQicPDw8Lly6+uaNW9IkCeN8usmZIyn/EoyQ</t>
  </si>
  <si>
    <t>Zlda4QTx47q+0QbMoA6a8ejxEwnqx4geTQ7JdndI8R85VMsLyvE7Zozomt9Z/nmcorqZRz1yFJDyY37f/09d+C+iTDpye/v22vVbr1+/+S51iihRIrvIGZByZXJfCZScO38xTOjQSZMkUpfcB3qUSb+ixH7LAmV5JtAAwErUQSDgqEf41lAm8a2hTCIw4dIJAAAAAAAAVw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CbYx48ftUDk7qMXr9zeRwofRgPwNbx6804LFow6CAQE9QjfGsokvjWUSQQmUp4jRQgbP1YULRBhRgMAAAAAALBMSC3QkdBmIIsGAf8hd22/qYNAQFCP8K2hTOJbQ5lEYHJXC4SY0Q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CZkBpgwhs3t7Xrt548fe72nbsfPnxMnjTxd2lSlitdLFy4sMZst27f3bB5uyRy58yeIf13Tl9q1tzF793dc2bPkjlTes2E6zduHT1+6uatO8mSJM6RPXOC+HF9y3ns+OnTZ88/e/4iU4a0WTNniBIlstNsN27ePnDo2J2791ImT5o9W+b48eJoQIC9fPnq8NGT167flMoiFSRd2tTJkyVxmtNkCbx9557UuOvXb4YIGTJFsiRSpGPEiOY059Onz0+dOXf6zPlw4cKlSpkszw85QoQIoZnm+vNcuXr9+YuXLnaPFTNG4kQJNBNM1lDJdu7CpUePn2RMnzZ71oy+ZUNQY7L8BGRfjg4w2vv3oT37DlaqUCpF8qSOz3p6eh46ckLa/PsPHiVMEC91yuSZM6ULFiyYMY+7u8fZcxedvnjUqJGTJkmkfYnJMvnixcvdew9cu35LDhPZs2aSA0Hw4AwlBhVSFC9duXby1Ll79x9IocqRLbMUSKfZKLH4PyPQgC/w8vIaOWZKv0EjHZ/q3ntIv14dq1Yqq2+5cPFKhy79JCEty4Hd6yJGCO+4V8t2PeR3z65tvhho8PDw6Nlv2PhJM40bC+TPM3PyyMiRIxk3Pn/+olHzjpu27jRu/GtY39+qVzJu+fjxY+/+w0eNnWLcWLNaxRFDeoUMSV2A/82Yvah778Gv37gZNzaoW6Nbp5bGsmqyBLq9fdt/8F/jJs6we5fB/bvVr1PN7mA8efpcVel0mTKmmzB6UNo0qbQvMfN5OnTtt23HXhcvIvlHD++nuWSyht67//CPtt22bNtt3NiyWf0eXVpzChKUmSw/AdmXowPsSLiz9C+1JCHnKo6BBolBtO3UW855jBvz5c0lBcaY+eTps0VK/er09UsWKzh3xljNd+bL5LKV61q27W48AMlRYOn8yTFjRNcQ2MkIX+0GLSWWatzYqV3zDm2aGoMIlFh8FSF69eqlBSKv3N7L70gRwmqwwtu376rVbjpzzmL1sEypoqWKF8qdK3v48GElDCndoTXrtyRKGF/GiFSGq9duLl62WhKvXr958/pNkUL5HV9z8DDvdqpA/tw/5Mzu+t279hw0YcpsSUjAonLFMu7u7k+ePLt+49a2nXt/KVsibNgwKpvEaKv+1mT7rn2SLlrop0I///j8xatnz56v37RdxlqzZclofOthoyZqthbtl/IlQ4UMqQaNL16+Wr5McQ1WCIJ1cOGSVS3adHX38JBjZNXKZfPmzun2xk0G5I8eP3Xx0pWK5UvpOU2WwDYde0+dMV8SaVKnqFKxbOaM6W7duivVbcu2XdGiRsmRPbOes0vPQQOHjJaEvHWNX39JnCjB+YuXHzx8tH7jthpVK4QN+4X/gpnPs2jpKqnsLl7kh5zZnNZ0nckaKq1Nxer19/19WNJJEicsV7rYnbv35a8+cOioJEoWL6QFJRzLdOZb+IDsy9Hhi4JUmXz46HH5yr+/sE3mqlShdMoUSY3PXrx0tWDxynJCYnu2VNHCBSJGjCDnPzdv3ZGTopq//qKfn0jYdMOm7U7fQoZwjUcHRybLpASCa9RtLgcgGeCpUqlswgTx5bgjR4F1G7bJJ7ebdhrI0E5euXo9X6HyUvAkXbBA3uJFCz569ETK7Z59B9VMAZWNEvufECjLczCJP2mByN1HL+R3/FhRNFiha6/Balj1xzw5J44ZYpwBdeTYyfKV66p45N87V3+XOqVma6Eq12io51m9dKbsaPea0eJ5RyV6dm3TqnkDF28tgwl5CnjPlShXptj4UYNU0yM9usYtOkpiwujB+kyKFas31G3YWhIyrCqhU83WY/m9UesNm3dIhOLCqT3hw4XTbBPRM+YoKInqVSuMGtpHhVeHjpzQf/AoSWxaM//77Fk0BFhQq4PSE06QPJskcmTLvHjuxKhRvf9wLy+vHn2HqrqzYPb4YoULaKZL4P6DR0uUq6HZJkQM6NNJZXv58tWvtZr8feCI</t>
  </si>
  <si>
    <t>pC+d3qui/teu38yWu5hmG2eYPW20GvPXq8PAPp0bN6jl4pOb/DzyB3q4ezj81e8Kl6xy994DaRN2bl7mehTCZA2dNnOBjLdIon+vjvLJ5c+RXmLHbv1lu2w8fmCzRB+0IINjmc5k+QnIvhwdzAg6ZdJuuHX+rPHFixQwZqhQtd6OXfukCG1et1Cd/IjVazfVqt9SEn80rde7ezu1sV3nPhI1luGZ+TPH2b1LqNChXBRdk2Xyw4cPOfOVkt5m+rSpVy2ZGT16VNkon00+oSR6dWvbsll9LfCinWzRptuc+UslsXntAjkJ0WxXOpepWPvY8dNSPq+dP6BKDiX2PyFQlmcmo8JXJ0+dVT0laZsmjf3T7jorCZTqc6jGT5rl9BUaNe/w6vUbzV9Wr92sEu1aNtYDnBXLl1RdGhna1XNOmOz97imSJ1XnkULyDxnQXRJyorB85Xq1ce6CZSrRrVMrfRJX25aNVO9FDSADfnX02CmVGNK/m4oyiBAhQvTq2kZdOnT4yAm10WQJ3Ln7b81W6Xp1b6tnixw50qC+XVT65KlzKqHqnVTMMSP661cWlCtdLE3qFJLYvnOf609u8vPIiUWUKJHtfgYM+UuiDPKsnIt8ca6jyRq6fJV3Ql7t99o+l4fIp2pcv5bxa0EQZLL8BGRfjg5Qnj17XqNOs3qN29pdB2cksdcdtjkyndu30PtsmpryWaKwJPbtP6xvPHrc+wAhXSzHVtRFn00zXSZl4Fr6bJJo37qp6rNptitMa9esIolJU+dIuFZDICV9exVl6Nezg4oyiAjhw7dp4T3gJ2X45GnvswVKLL4iAg3w1cKlq1Vi2sQR8eLGdsyQ/8cfcn2fVRqRUKHsL2Ft+Lv3kKx0RfoOGKH5S/kyxceOHDCgdyfjopLSeKVKmUwSb9+9V1vevXt/4NAxSdSq8dkFt4kSxpeIrGYbmlBb9v59SH4XLpjP+LcECxasWpXymm2uBK0b/OHJk2eZMqaT7nHGDJ+tfhoqVCh1fL11+67aYrIEuru7S6Tg5wI/2h3UpUirxN179zVbyZ88fa4kunZsGS1aVOMLrlg0/dThbdMnf6Hq+btGyCmLOrnp1K65/O0u38QPNbRLhz+GDOgmIyH6HE7jX/3uvbuGoMd8+QnIvhwdoJw9f2ndxm2SkHObvdtXOc1z58596dRJm/99Dvt5LmqpvOs3fK41k2KjrpzPnOkL7aQjk2Xy4OHjmi0wXaTwZ9evyaiMZjsHO3bitIZASoqBZovON2lY27i9eNGfD+5ed/n0vsy2AzQlFl8RSxzBV4tsTZh0llxcgL166UzpUDlub1T/t1Nnzv994Ij0hUqXLCwhCc2PUqdKLj92Gw8dOa5mjxcr/JPacvGSz8I2WTNnsMucM0dWyawP/+7ee0CzzW+3y5Yls8+alDdu3na6sjTgQrkyxeTHcbsEIM7Ylm5Olza12mKyBHbv3Fp+HF/w8NGTKqEmLDx4+Eg9zJv7e/l9/8Gjw0eOhwgZMkO6NHrn3DX/1Yj3793bde6r2VoGM1MczddQ6fup7p/R9FkLVOLn/Hk0BD3my09A9uXoAJ00sBJCLVOyiD6eYUdGOzavXeC4/ePHj/v2e/e19GJz5eoNlZA2eeacRefOX5I8MnYi47dfbKVNlsljtvHnjBnS2gWm9ZWzLl66yoU/gZUKEEhYIXjw4B4eHnLWfenytZQpkqb9LpUak1MosfiKCDTAubdv3z1+8lQS6T91k5xyGmXQbFPHx4zonz2P9+ovTf7otH/X2kgRI2j+JWPC23fu3bh5hxpqyJolQ2nbdC/x9NlzlYgW1f6ipqhRvW9gJn+Fl5fXe3ef4VB9ptY/2aL47Pjw0RNOJWEVteipyPNDDs02d1E99F8JdHf36N1/mGYbB0ifLo1miyyop8KGDVO8bHU1cquUL1N8xJBeUaO6uszP359n7oJlat7jwL5djFMPfGOyhtrdj/PkqbPbd+1bv3Gb+rsa1K1hPG1C0OG/8uOnfTk6QCexzn3bV/nvHjcr12xUo8H58/qMrJw5d0ElipauZpd5xJDedX6r4ttLmW+fnzx9Zstmf+fjSJEiqoR+pEDgo6Y3Jk+WePa8JRI+cbMAABAASURBVH+07a5v977eedzQEkV/dr07JRb/B1w6AecePX6iEulcBhpcSJ4syZAB3TTbVKhe/YZqATBx6pyW7XqoKIM0oEvnTdbnir/+tAaEY7dKP7mUcYk3n663jB7NsRH0uaG6xFY0wAoyFKCua6hVo7LP+kwBKIEfPnxo0aarmh8xbHAvNQ5w//5D9WypCrWkNy71Qt5IrQqxYvWG4uVquDus4Gjk788zadoczbYwRFGXd5rQmayhdk81bdm5V79hKspQsEDewf27agiS/Fd+/LQvRwfogttofnf8xBm17Kh0pRrYLh0Vp89c0DPImHDrFg1/KVdSPWzdoefSFWt9ezXzZfK57b4YsWPFsMsmf4U6HLi5+brYBP7rbtz0vtnEuIkzVZQhTeoUasLj6zdu1Ws3dVHANEos/l8INMC595+uiA4dOrTmX7/X+lXNhZ42c4FaisZ/wocLW6ZU0Xx5c2m2BvTn4pW37dirnvLy+qASjoOr4T7Ny/L08NCzhXaYghE+vE82dw9XHTPApPmLVrRq31OzXVzQt0d7tdHfJdDT07Nd5z6LbAumlCtTrErFMmr7g0ePVeLK1eutmje4cnb/5rUL5HfTRnVk44WLV8ZOnK75zn+f5/DRE+ou3E0a1HY6huzijVzXULun4sWLI1U+axbvGe9S2ctVrqumUSCo8V/58dO+HB0QQCdOnilT0WfZ2slj/9TL263b3v1A6T5tWbdw+cKpPbq0njph2O6tK1SHqlW7Hi9fvnL6gubLpKenl9Nsmm0JYfntwfIigZc6LD5+8lRONnZuWrp/5xr52bFxiVq7XQrY8+cvnO5IicX/DZdOwLlYMX1Wktcvc/UH6YqMHTlA3YGvWasuf+9cE/nT</t>
  </si>
  <si>
    <t>5Cjl1es3I0dPstsre9ZMJYsXMm7p0uEPlbh67UaVmo2lba1Yrf7JQ1sTJYwfJUok9ZSb21vt8wjpq1evVULOKUOH8QmXuDkMTL38lC1CeFcL6gJf9PHjx6EjJwwY8pdmG/NfvXSmOnBq3kdQn5LvpxL4xs2tfuO2GzbvkHTRQj9N+Guw/lTYT0Vatvfs2kalQ4cOJaGNg4eOSURg7oLlMhxx+uyF5Q6r5VUoVzJ5ssT++Dxz5vssK62WdzJat3HbkaMn7Da2bN7AZA2123HxXJ9mQd31avfeA1V/a3Jg1xqT0Q0EGv4rP37al6MDAmLz1l1VajZSaembqfCoMnnc0FHD+nq4e0T5NKgrMqRLM7h/NzkjklGTE6fOqhEUO+aPFzFjRJMzojdubx1fRPUJI4QPryGQkv6/uj3KlPFD9YWZM2dKP3p4fzlJlqd27t7vuIYUJRb/TwQa4Jzeypw6c95FNgmXPnr8NGWKpMGCBXOaIVnSxH8O7N6+c191AcXwwb2Mz0qzMvwv+0BD3VpV7QINuuTJkkwcM7hwyaqSXrl6Y/MmdWPHjqV/ksSJEhgzP/sUyg1jO49ULfILh3DsC9s8LhEpYkQN8C8PD482HXur2zGkT5t68bzJxrWXw4cL59cS+PDR419rNVGXUFatVHbU0L5hwvwzvSheXJ/bzVatXNa4V/DgwatUKiOBBjmWv3v3/sLFy45VLF3a1HLq4NfPI6cLM+cskkSNX3+JEcP+Asst23ZNn7XQbmPdWr+ar6FOFcifp2+PDt37DJE/5/jJMxKF1BCUBKT8cHTAv23W3MUt2/XQbEVI2vwfcmazy+B9pZtDIOynfLlV4vzFy067beaPF+pA8Mxh4NrT01N1Qe1GdxCYJE+e9OSps0kSJ7RbgrFggbyq/EgBK6d9FmigxOL/jEsn4JwEDtT9dS9cvPLOlytgxcgxU3LmK5k6448uJjb/XuvXH/Pk1LwXkF9odwGFDMCqi8qMP3oPStodfYEZXbYsGVXi+k3v5XbjxIqpHjo2W2olMHWLQZEgQTzNdpdsu2z6llgO14wBJr16/UaCAirKIMf4dSvnOt4R1k8l8NLlaz8Xq6SiDG3+aDj+r0F2vak4sX1KfniH8H/smD5PvX7zJkrkyI5VTDZqfq8RK1dvUIl6te2XidJsZw+ObySf2XwN1Wz3I/RwmKOe/0ef0xr9RqEIOvxUfvy9L0cH+NXHjx/7Dx6l+mzx48XZun6xY5/NN/q6d54evs4SN1km49kmyT/+tKiW7vmn3l3sT0cKBD7qThDqugY7ceJ4n4EYu/2UWHwVBBrgq1KfphXMnr/EaYY3bm5zF3hPpY4QIXyypIl9ex0ZYh09vJ9KN2ja3vhUrJgx1EVlxp/2rZvIUzV/bxErUcamLTvbvZq+xF0U26T0aNF81vTatWe/Xc5NW3bKb70lTZEsifzeuGWHXbadu713jBkjeoL4cTXA7yQcVr12U7VuSN1aVRfMGu80JG++BF69dqNk+Zp37z2Q9JgR/bt3bu04Yyj+p8ynHeYc3bl7T7OdSchrFi6Yz7GKyUbN7zVi6449mq1vZpxpqZNq6/hGUsFN1lD5DtNnKxAvWZZZc+1bm9efVpmK4bBONQI98y18QPbl6AC/6t1/+NCREzTb/fy2b1zieDduiT7/WLBcqgx5J0yeZffU9es3VSJlCl9vpmOyTCa2dTUPHDpmdzX+nn0HVSJLpvQaAik1UevMuYt2w4EfPnxQg3/6yJxGicVXQqABvipfprhaUaZP/+GHjhy3e1aCo3+06a5ugdmgbnXXCzUnTZJo6EDvMKrKb4ZqjFau3vjg4We3ulm+ar1K5LDdaFfet1G9mpr3fLAlXl5eerYTJ8+odlaf8fVr5XLyW4aIjZMv3r93n79ouSSKFv5JA/yl38CR6hjZsW2z4YN7+XbPV5Ml0NPTs1a9P1RNWTRnYo1ff3H6anLYLl6kgCQWLF6pXwOpdp81z7uvXiB/Hs0lv9aIvfs+u+G2SSZraPhw4dSYydyFy4zZxLyFy1Uifdo0GoIY8y18QPbl6AA/WbNu86ixUyQhQduVS6bHjuVkDDZSxAgSJJWWfP7ilZ6fr283btJMlciUMa1vb2GyTJYrU1wl1m7Yatx9sW39YDmFS27r/iFQqvKLz+LQS5avMW5fvXazSmTP6hNooMTiayHQAF+FCxd2+JBemm1EsWjpagOG/CUDrXK6Jg/3/n2oRLkay2yLzMnwZt3av37x1WSkV11AYVKFciVUon6TdmoCuVi3YWv7zn002/14fsrnc+PfhrZTSWkcm7bsrOY73Lx1p3aDVpqtM1ahrM/rlChWUMVNatRtru7TK4OovzdqrcZLmzSsrQF+d/LU2fG28L+Urpw5sm7bsdfuRzKonCZL4PTZC9WdLEsWKxgiRAjHF9SvIGhnm/sjB/UGTdo9eeJ9b2o5qHfo2k/dGKL8p8O5b/xUI+7ee6BiH+m+8/P9bk3W0BpVvUMqUtk7duuv/kY515ERGDVtqnbNKo436EZQYLL8iBZtujVo2m7shOl+3ZejA8yTUtG6Qy+VlkDw/gNH7ZpofQaNWjRXDgFdew5S9/aTNm3wsLELl6ySdLtWjeN8WkZk/KSZUnSbt/7nPr4my2S8uLFVMLpTt/7qfsAyCDRi9CR1O/BWLRr4tn4WAgGJ+xct5N2Bl6Zv/abtKpwq44LtbOfJcnKu5hpTYvEVBZN/sBaI3H3kPRUnfqwoGiyyZPlaaU18e1Y6/OtXzokV0+f61S3bdleu0VASxw9sdrx09vqNW1l/KKrSPbu2adW8gebSnyPGqwX8NduEbQ8PDzWZPGKE8OtXzcuQ7p/hTWmwJk6do9Lp06ZW/TTNtna9miWurFi9Qd032C5b+9ZN9BtbIICCWh2UErXi0+IFTkm8YO6MsSr9xRIoDXLiVDn0iwWcGtinc+MGPjem6tH3z9HjpukveOPmbbWvMY8L5mvE0eOnCpWoIolZ</t>
  </si>
  <si>
    <t>U0aVKVVU8yMzNVROkipVb6gv42L8c9KkTrFl3SKnV6IGVhzLjEy28NHieY+2GWucxtHBOkGtTErjkyil9/25588ar6aPKVNnzFcdORee3Tun2VYILlOxtupNSfOVPl2aM2cvqDZNXnDy+GF6m1bz9xZr12/Rd1RMlslLl68VLF5Jvayckr148VIFhfPlzSWF3MVSu4EA7eT5i5cr/lpfPzdOkCCeGmmQc+bNaxeok3NK7H9FoCzPzGjAF1SqUGr31hU1q1W02y7DQYP7d9uzdYUeZdBsU1XtEkZJkyQaNqiniwx2pG2aMWmkvJGkpcuhWtJfypU8tHeDMcogBvXrOmRAN9UCqqZNGq+l86cYzyM12xjvmmWzVAREZZNdpEvWuX0LDfCXcxcuuc4QzFDUv1gC5XDrOsogghtu8dine3upI2oYQV5Q9s2UMZ1UTDNRBs0vNeL5c5+FmlKnSqH5nZkaGiJEiPkzx3Xr1Eo9VH+OJDq1a75j49IgFWWAHZMtvMoQ7PODC0cH+I8+sGo3wnrm3AXNnFChQi1bOFVaMM0WtpD+m/yWUxrZMmf6GGObFjKkkxv3miyTqVIm27djde5c3jGRK1evf7qgtcacaaODcp8tiPgudcrdW1aoe1hK6ZIogxQSKTkrFk3TT84psfiKmNEAs9zdPR48fHT/wcNgwYJJyED1//8PpIjeuXtfAg3RokVNnjRx2LBhXORU8YiECeIliB83RIgQvuV89PiJhFRjRI8mDaKLF4Q/UAfNsLwEyqFaXlCO3/6rmP+fGmGyhsqgyvUbt6WpkWyJEyVwUZEDMeqRI/MtfED25ejgG8qkv3l6et68defe/YfJkyVxvCHRF5ksk9InPHf+YpjQoeUMLbJttexAjzKpkzJ24dJVTw+P9OnShAwZUgsYSuxXESjLM4EGAFaiDgIBRz3Ct4YyiW8NZRKBCZdOAAAAAAAAuEKg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LBPn78qAUidx+9eOX2PlL4MBqAr+HVm3dasGDUQSAgqEf41lAm8a2hTCIwkfIcKULY+LGiaIEIMxoAAAAAAIBlQmqBjoQ2A1k0CPgPuWv7TR0EAoJ6hG8NZRLfGsokApO7WiDEjAYAAAAAAGAZAg0AAAAAAMAyBBoAAAAAAIBlCDQAAAAAAADLEGgAAAAAAACWIdAAAAAAAAAsQ6ABAAAAAABYhkADAAAAAACwDIEGAAAAAABgGQINAAAAAADAMgQaAAAAAACAZQg0AAAAAAAAyxBnw187AAAQAElEQVRoAAAAAAAAliHQAAAAAAAALEOgAQAAAAAAWIZAAwAAAAAAsAyBBgAAAAAAYBkCDQAAAAAAwDIEGgAAAAAAgGUINAAAAAAAAMsQaAAAAAAAAJYh0AAAAAAAACxDoAEAAAAAAFiGQAMAAAAAALAMgQYAAAAAAGAZAg0AAAAAAMAyBBoAAAAAAIBlCDQAAAAAAADLhNQQZOzZd/DchUt2G6NEjpw6ZfIUKZJGihjBxb7Pn784evz0mbMXzpy78OLFy8SJEqRKlbx8meIxY0Q3Zrt1++6Gzds1EzJlSJfr+6xPnjxbtmqdPCxWuIC8pmO2jx8/Tp05X35ny5Ixe9ZMmh/NW7j8jZtb2VJF48SO5fjsseOnT589/+z5i0wZ0mbNnCFKlMhOX+TGzdsHDh27c/deyuRJs2fLHD9eHA1w8PLlq8NHT167flOKXPKkidOlTZ08WRKnOU2WqNt37p08fe769ZshQoZMkSyJFNEYMaI5zfn06fNTZ86dPnM+XLhwqVImy/NDjhAhQmimuf48V65ef/7ipYvdY8WM4bTyOjJZ43TS1CxatjpYsGD161TXENjt/fuQHKQqVSiVInlSx2c9PT0PHTkh9ev+g0cJE8STw1bmTOmkbDjmDEiLbXJfKZm79x64dv2WVEk5MEmlCx6cYZugwnW7FJCyYX5fv7alCJT8cXT+Yslxd/c4e+6i01eLGjVy0iSJtC+hFYURgYYgZNnKddNnLfTt2XJlio0bNTB8uHCOT23YvKNBk7av37jZbW/fuW+DujV6dW+r73X2/MUOXfppJrRsVl8CDdISqfwJE8R32lf58OGDvIskOrVr7tdAw5z5S1u06abZghp2gQaJmzRq3nHT1p3GjX8N6/tb9UrGLRLg6N1/+KixU4wba1arOGJIr5AhqTv4x4zZi7r3HmxXR6R2dOvUMnLkSPoWkyXK7e3b/oP/Gjdxht27DO7frX6danYH48nT59pVukwZ000YPShtmlTal5j5PB269tu2Y6+LF5H8o4d/odabrHF2Onbrv3DJKk3T6tWu5rRLiUBDguClf6klicyZ0jsGGiQG0bZT7wsXrxg35subSwqqMXNAWmzz+8qRtGXb7sbKLjVu6fzJdmF3BFYu2qWAlA2T+/qvLUWg5Kejs8mSc/L02SKlfnX6aiWLFZw7Y6zmO1pROKKzFBSlSZ1CJTw9vSSm+PjJU0mvXL3x5q07KxfPME5tkEGktp36zJq7WD3MkS2zDCLFiB7t4qWrK1Zv0GydnAOHjy2YNT5e3NjyMFLEiPqLK/qpod32OLFjav+mq9duqCiDI/mjfqv3hwydSbpooZ+SJkm4dcdeCQz/0ba7hHLr1amm5xw8bKxqMaUFzJv7++MnTv994IjEL169fj1j0kgN</t>
  </si>
  <si>
    <t>sJGTztYdekpCjpFlShUJHz78jp17z5y7KLVDQmnGA7PJEtWxa3/ZqNlqTcECP7q7u0v1lHrasWu/D15ejRvU0nN26Tlo/KSZ6q0rlC3x6PETqZgnT52tVK3B3m0ro0aN4vqTW1LCw4cL6zqD+RpnJCci6mwegd7DR4+r1Wrq27NyuFExCFGpQimJSsuI3JZtu2U0rGylOvu2r9IH5QJSnk3uK6f19Rq3lYQM05UoVvDhoyer126SGle8bI1Nq+dHjx5VQ6Dmol0KSNkwua//2lIEWfrR2XzJ8W06gxm0onAUTOJPWiBy99EL+R0/VhQNDtp07DV91kLpkFw6/VkE9OnT52069ZKejKSlLShXppj+lIzTqh6UjBqN/2vg99mz6E/JqaEER3fs2ifpAvnzSCTS6aynxi06ylFZWpMzR3c4Pisty09FK0pi3sxxJYr+7JjBy8srZsIMmm1GQ8e2zTRzpEktWqbaseOn1cMNq+bl+j6r/qz0xOo2bC0JCfRKqFUSb9+++71R6w2bd0SMEP7CqT1qgsbtO/cy5igoiepVK4wa2keFY4eOnNB/8ChJbFoz3/htQBfU6qDb27cJkmfTbGG4xXMnqr69lNsefYeqKQkLZo8vVriAZrpE7T94tES5GpptQsSAPp1UtpcvX/1aq4kcsyUt9VdF/a9dv5ktt3dtlXGG2dNGqwqoF++BfTobQxKOTH4e+QM93D0c/up3hUtWuXvvgVTtnZuXuR6FMFnj7D5b7p9K68MdT++eDWozGoJOPbIb2po/a3zxIgWMGSpUrScHGikqm9ct/C51SrVRTkxr1W8piT+a1uvdvZ0WsBbb5L4fPnzIma+UnJ2nT5t61ZKZ6oRYPpt8Qkn06ta2ZbP6WuDF+ZWLdikgZcP8vv5oSwO3IF4mzR+dzZecdp37TJ0xP3eu7PNnjrN75VChQ7koYLSiARcoyzPXw0CTej5x9BCVNs6qevLkWffegyWRJHHCXVuW2Z2lxY4Vc/rE4WraqrQRCxav1L4Zw0ZN1KMMjiZMnqXZQieqtRXhwoUdMqC7JOQEYvnK9Wrj3AXLVKJbp1b6pK+2LRvJtyEJaYg1QNOOHjulEkP6d9NnEIQIEaJX1zZy/Jb04SMn1EaTJWrn7r/lt+zbq3tbPVvkyJEG9e2i0idPnVOJ8ZO8S7KcTIwZ0V8P85UrXUzNHtq+c5/rT27y88iJhYwY2/0MGPKXnMfIs3Iu8sW5jiZrnE7CNE1bdna8VguBzLNnz2vUaSZDWy7+13ImrcLZndu30KMMokypoqVKFJbEvv2H1ZaAtNgm95XxQDk/lkT71k31YTeJs9euWUUSk6bOkRi3hkDKdbsUkLJhfl+/tqUI3Mwfnc2XnKPHvU9p5ITf8ZVdh7FoReEUgQZ4CxMmtAoZvHH75yA6YsxkdUwd3L+r0/ZFulVL509WvakpM+Zp34ZDR44PGjpGEhPHDHF89t279wcOHZNErRqfXZaWKGF8ieBqtuE1tWXv34fkd+GC+dRVIYoMX1SrUl6zzZanNYRmi8dlyphODucZM3xn3B4qVCh1fL11+67aYrJEubu7S6Tg5wI/2lU6KaIqcffefc1WkidPnyuJrh1bRosW1fiCKxZNP3V42/TJIzSX/F3CpeOnruzo1K65/O0u38QPNU4nAZTdew/IVzqoX1cNgdfZ85fWbdwmiVzfZ9273fl09Dt37ufIllkKw/c57OcjqGXJrt+4pR4GpMU2ue/Bw8c1WxCwSOH8xt0rli+peVfMB8dO+Brgxn+d63YpIGXD5L7+aEsR1Dg9OpsvOdLQqVG6zJnS+fGdaUXhHIEGeJP4ogoxFin4T80/cPCo/E6fNrWa+O2UdKV+yp9Hs61ke+Pmbe1re/X6TYOm7SXRrlXjPD/kcMxw8ZLPmhFZM2eweypnDu/LK/ThYjml0Gzz4e2yZcmcXiW+hb8XX125MsV2blp66fReu7WOJABxxnatY7q0qdUWkyWqe+fW+3eumTVllF22w0dPqoSasPDg4SP1MG/u7+X3/QeP1qzbvH7TdolrxI0TK2GCeF+cQ+u/Ev7+vXs72/qsUvfNTHE0X+OU02fOd+/jHSKUQGFMX+6ygUBDCvP0SSPWLp/t241LUqVMtnntAqlfdlPqPn78uG+/93mtXlwD0mKb3PeYbawvY4a0dpUrU4a0KnHx0lUNgdEX26WAlA2T+/q1LUVQ49vR2XzJuXL1hkpIDGLmnEWduvXv2LXf7HlL9PESF2hF4RSLQQY57969O3zUZy63nKu5ub2VJmbIcO/16iSmULJYQT3nedu9MNN+94W166XlWrt+iyQuXb6mhnD9YfuOvc+fv3Dc7tc1RLr0GChtmfwh7Vs3ffjosWOGp8+eq0Q0h3Xyokb1XlHs8ZOnXl5e793d1UbHZWmiRvHZ8eGjJ05vwwZotlWRVEIFvNzevlUP/Vei3N09evcfptnGAdKnS6PZIgvqqbBhwxQvW12NVyjlyxQfMaSX65Ug/f155i5YpoKSA/t2kbfWvsRkjVP345RPVb+p9/X2DerWKFgg79IVazUEXjKYtm/7Kv/d0mzlmo1q5C1/3h+0gNUv8/s+efrMls2+nxkpUkSV0GslAhMz7VJAyobJff3UliII8u3obL7knDl3QW0vWtp+YdERQ3rX+a2KL+9MKwpfEWgIcl6/cXN665r48eKsXzVPv+XEo8dP1HUTyZMlcf2CGdKnUQmnHXuT1CTwAJIRXTVnbPL4oaFDh3Ka5/XrNyrh2A3Tm+C3796/1RvNaI6Nps8K52/fvtMAZ2QoQBXpWjUqqwD/m09X9vqjRH348KFFm65qfsSwwb3UOMD9+w/Vs6Uq1JJzCwlAfJcmlQQHpdquWL3h3IVLuzYv960WBOTzTJo2R7M1F0UL5ddMMFnj1BVY/QaOvHDxipyL9OreVkNg5++7ph8/cUYtbCZFpcHv3iunBqR+md9X3bI+dqwYdtnkD5ECLFXPzY2FRQIh</t>
  </si>
  <si>
    <t>M+1SQMqGyX391JYiCPLt6Gy+5Jw+c0F/qkD+PDKOKEN36sKK1h16RooUoWL5Uk7fmlYUvuHSCfi4e+/BH2266cGCR4+fqkS0L90hL14cn8uxArJ4m7QvMWNEd/pj8hXu3X/Y5I9Omm2x/bRpfJ2F4eX1QSUcB2PDfZrH5enhoWcLHcq+qxY+vE82dw8PDXAwf9GKVu2979WSJHHCvj3aq43+LlGenp7tOvdZtHS1ZrtMo0rFMmr7g09VVaIMrZo3uHJ2/+a1C+R300Z1NNttZcdOnK75zn+f5/DRE+qGtU0a1DY5bmayxmm2W16Nty1YNWnskKC2djrMO3HyTJmKPrdTmTz2T1WuAtJim9/X09PLaTbNtlyr/PZg4Z5Ax2S7FJCyYXJf820pgiAXR2fzJefW7Tua7YR8y7qFyxdO7dGl9dQJw3ZvXaGiV63a/Y+9+wCPougfOL6EIkV6B2mhSa+CiCgvIk1pghRBEDA0aaH33l+aIC1IlV6kI126Ir333oTQQgmQBPL/3U6y73GXHJtk/0ou38+T557J3uxm0ZnZ2d/MzvZ99OhxmH+dVhThYUZDjCPthfGmSRkpvXf/gYQYlq/6beacRTIQumvPX4f/2pQoYcIkobOY7vjec33AG/rytlpYEUrzfCaNcv16S+Xxk6fjJvg45ClWpGClCv9p491TIh1lSpds3qyhFr6kSROrhL//M+318338+IlKSMsb7514IdmcBsEehWZLlJB7IbwmODh41LgpQ0eO1/RRhdXLZqsLp2a7goZUqAiVKAnuf9+y0/pN2zT93ddTxo8wvoofWkRle79eHVU6Xry4Etr4a98h6XPMW7jcu23z4yfPLHdaIaxm9Sqe2TJH4nzmLghZVlot72Rv3YatB0KfyTK0b+Nlssbdu/egRZuumv5ygaKFC2hAWDZt2VGnYQuVln5wkcIhV4fI1a+I7psqZXKJ6z31f+Z8ENX/lkunBjdivl2KStkwua/JtlRDjOTi6my+5EybNOrH0YMCAwKThk5DEPnz5h4xpPcPHWx97CPHTko32/mv04oiPAQa6V3DaQAAEABJREFUYpz48eMbNz+aPpMqu2dWaTjSpkk9fNRPd+/dX7l6wzd1a6ZNk0plOHv+DeuyXL58VSXSpU2j/T+TZmjMeMdAQ5NGdSVcIsMOmu2dZ59v2rpDbb9zJ2TId/cf+x76+WXLkjlXTs80aVKrjQ8f+jksP/YgdJGId/RbODWJy88pfOunz/sSid99VwNCBQYGduw2QD28ky9PriXzp9mvvSxDYREtUXd879Zr1Eo9iF63drUfRw16JzS4INKnS6sSdb+uZr+Xh4dHndpVJdAg1/Lnz1+cOXveucrkzZNLug4RPR/pLsyeu1gSDep9ldJpObTNW3dIsNJhY5NG9UzWuHadekvjYzu393Nu2LxNbT8Q+urQDZu3x4plCyman+IE9zNn3pL2nftqeuMs9evDEkWNryJRvyKxr6p0D5yWEwoKClIT+owAPdxDz37DTLZLUSkbJvc133tBTOP66hyhkmObtuMUrvq0TCmVOH32fJiBBlpRhIdAA0J8Vb2KeiuktCOa/nK+cmVLy9379h17pG0Kb2E5GcJduWaDShcskEf7fyYDtmrJfXvSbJ0JXaW2a8/BznsNGmZ7z1+71s0G9OmcNnVIAMW5mVPr5RjrWWbMmP7M2QsPQhfRMRhbUkdhBgfczOMnT7/zaq+iXVJxZvqMc75YRqhEnTt/qUadJupt2B3bNe/dvUMs6dLaMUKBCZ3C/2lShXz15OnTpEmSOFcZ2ahFvISvXL1eJZo1dlwmStOrofMfkr5L2vimatyJkyGPhn7brJ3zwes3aiWfC3+Z7OINOHBjcqEZOnL8qHFTNH2u0PJFMyRq7JAnKi22yX3Tp7d1ke/edZzl9zC0J50mtFbCPZhvl6JSNkzua773gpjG9dU56iXHWKkxKDDc5xpoRREm1mhACOOxKGOF2Dq1bCOlEmIcOWZSeHtJlEEtd9+wfq1/4LHq1KlS/rl9jcNPF+9WKZInk96nw48x+ClxVvk1eXLbv0t9ih27/nQ4+MbN2+XTGCXLrq+CaQxiGLbvtO0oB8+YIZ0G6Ostf9O4tYoyNGlUd+GcyWGG5M2XqIuXrlSp0VBFGX4aO6RPD2+HKIPIEJr5+InTDl/duHlL0+/H5Jjly5VxrjKyUYt4Cd+ybZem90iM+er2pBo6/yGpsCZrXKb3MjhXYWNVM/UrMypjrAFDxqgoQ/GihX7fsNQ5yqBFrcU2uW/m9zLIp1zyHN6RtGvPXypRuGA+DW7EfLsUlbJhcl/zvRfENK6vziZLjoyXfFyues78pafoi5LYM2Yu58ieTQsHrSjCRKABNjJeNNlntkp/UCzkLbg1q1XOlyeXJCZPmzN/0XLnvfYdONxFf2evaNuqqfbvkSHfEwe3OfxIf1R9u3TBz/JrhzZemj6xvIW+iMOceUtfvnxpHOHI0RPqtUDGDLF6X1fXbK/8Pa62Ky9eBCxYbPtPUaH8pxqgGzxsnLpGduv0w5gR/ePGDftdDyZLVFBQUKNm7dR83cVzpzao91WYR5PLdqXPy0pi4ZKVxjOQavc5820lv+wnH2kuRbSE796zT7N7J7ZJJmvcgjmTnavwuFEDVebjB36XXz/+qISGmGfNuk0/TvxZEhIgW7l0ZprUYY93RaXFNrlv9aqVVGLt+i32uy/R12qVe843vqQJ0Yv5dikqZcPkvuZ7L4hpXF+dTZacxO8mkpFF6XssWLIy6PUVGSeF3iC4mLlMK4owEWiIcaQRkaFX42fdhq2z5y6uVvs79Wx5ds+sxYoWVDnjxYs75aeRKv1Dh55NmnvbFjt46Cfjt4ePnBg+6qcKX9ZXt0Ojh/cLc4jp7aRWi5Qzb92+R0CAbRXcq9duNPbqoOk3bxJeUdkqVyyXQZ/i1aBJG/VeX/mHN23hrZ4ia9W8sQZo2tFjJ9Wa5FJaShQvYl+51I9k</t>
  </si>
  <si>
    <t>UDlNlqiZvyxSb7KsUrFc7NixnQ947fpNlbOzt23irlzUvVp1vnfP9m5quah37TVYLT1dI/RyHp4IlfCbt26HPqucS4sgkzUOcCal0btrf5WWoNufew86VAdjjM58eZaoulfrzm28exlbTO6bPl0aFfjr3nuImsonMfqxE3zkMirpDm29nGceIYYwXzakAZfiJz+bt+6M6L60pXBm5upssuSohSSl09Kr33D1NkqJOIwYPXHR0lWS7tyhZdrQ5R5oRWESazTERLXqfx/m9ncTJZw/a6L9ExD58+beuXl53W9bSkO2YvX6FaGPgdmbMGZww/q1tOhDwqUS3J06fe7iZavlJ1+eXOq+TkweP9x4/U+cOHGGDOgu4RW5bctT+BP7bF28W8l/GQ3QtLETpqmE1JEwa5bEC+bNmqiZK1FyxR04ZIzaKNdddel1MGxgj5Zettf7FStSsG3rphMmzdi4ZXuO/B/JAa9cva4u6pLn89ffpO0sQiX879t3VCJP7hxaBJmscYCzRUtWqj60kLIaZp4Ht05pESnPu//cv/a3zZr+XJLaYn7f9j98v3L1eqlllap9I3F5P79H6vTKlC7Z6JuvNcRgJsuGbF+6fK2mN+DqKTbz+9KWwpmZq7PJktOxXfPft++W+3+fGfPmL1qeL2/uEyfPqE5Fpc/LttfnBSu0ojCJGQ0xSHhhQqnnZT/5aOiA7icObnOemJA/3/u7t64c1LerClUaJCohzdZfO9e5jjKo1/mGN5ncw8MjNGF9CNPFwYcP7jVyaG/1pKVqCuU/wrIFPxtXfUXGhNf8OidksTo9m+wit3A9urTVAN2pM+dcZ4jl8b9m9o0lSi636qLugofdK7IH9ukyy2ecqptyQNm3YIG8I4b0VpGINzJfwh8+DFmoKVfO7FrEmaxxDhjZiDmM/9UO/89PnDqjmWayPMeJEzvS++bMkW3PttWlShbT9MlEqn/s1aTB3BkTWPA/hgivXTJbNkJ3t2/JzZeryLWlcGMmr85mSo701X9dNL175zaaPptMIg7ymSplCtkyd+ZPxuokGq0oTIslA2iaG7npa1tcJEPqpBqsJkXF9+696zduBQQEyo1N+nRpwgsfRBfyL5IRYBmIfi9j+owZ0sWOHTu8nPIPP3f+UsoUyaUBZdDANeqgGZaXKLlUywHl+h25F0D+MyXcfI0D9SgqolKeTe4r/e9Tp8++Ey9e1iyZ7N8Y7cYokyZFpWyY3Je2VKFMRpTJkhMUFHT12o1bf9/xzJbF/kXdJtGKRo5blmcCDQCsRB0Eoo56hLcNZRJvG8ok3IlblmcenQ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CZWMHBwZobuenr99j/ReKE72gA/g2Pnz7XYsWiDgJRQT3C24YyibcNZRLuRMpz4kTxM6ROqrkRZjQAAAAAAADLxNHcjoQ23SwaBEQjN/VP6iAQFdQjvG0ok3jbUCbhTm5qbogZ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aJoyFmu3b95vpNv0uiVIli+fO9H2aeOfOWvAgIKFGscKGC+dSWGbMXvnz10vWRs2bO9Plnnzhv9717b+1vW85duHTj5q1Xr4Lz5cmV9/2cBQvkzZL5Pc20gIDAk6fOhvlVsmRJsmbJZL/Fz+/Rzt17L12+ljJl8mJFCubMkc3DI+wQ26HDx4+fPP3goV/B/HmKFMqfNGkSDTDn0aPH+w8evXT56lN/f8+smfPmyeWZLUuYOa9cvb533yEp/zk8sxYrWihD+rRhZrt+49bR46cuX74aO06c7NmySIGUAhxmzvv3Hx47cer4idMJEiSQ4v3Rh8Vjx46tmeb6fC5cvPzQ75GL3VOnSpk5U0bNhDfWrwjVa8QQJ0+fk1Jx7fqNDOnTlSpZLLzCZr6dj8q+XCNgLyrlweS+Jq8XiMmCgoKkU3302Klbf9+WC2XxooXey5jeRf4XLwIm+cxKmSJ5owZfO3wV9auwyRIblRYb0QiBhpjuzNkLXXsOloS0BXt3rns3UULnPO0795XPfr06GoGGTt0HvPHIX1Qu7xBoePjQr1vvIYuXrbbfuHrtRpXo3rlNp/Yt4sQxVSaPHj/5+Rf1wvyqSsVy82ZNNH79deW69p36PHnqb2yRoMayBdNSpUzhcG4t2nTbuGW7/cbxowd9+01tDXiTWb8s7jNghH0xE15NGvTu3j5JksTGluDg4AFDxvw48Wf7bA3r1xo7sr99yfd/9mzIiPGTps5y+CsjhvT+/rv6DhfjaTPnqSpskBI+ZcLwPLlzam9i5ny69hq8ddtuFweR/BPGDNZcMlm/zNdrxAQSQZNrzYrV6+03SrUaPrinQy0w2c6HiWsEIiEq5cHkviav</t>
  </si>
  <si>
    <t>F4jhZLywsVd7iVvZb5QeddeOrWPFihXmLp17DJy7YJmM8zkHGqJyFTZfYqPSYiN6oalCiJu3bg8aOkbuZMzvIlGJjOEHTR3Gnc6eu1izblP5K+rXkh8UKZg/b4IE8WXMdtuOPbJl+KifNm/duXLpzIQJEmhvEl7A1YHcIDVr2UnTwyiVK5a743tP4hpHj52sVK3BxtULUqRIprJJMPjbZu127flL0hU++zRrlve2bNstA7ntOvWR4G6z7+prQPgWLV3l3bWfJOQaWfWLzxMmTLht++4Tp85KCECC+vYX5hGjJ6prsFxTS5f64PCR43/sPSDX+8dPnszyGWdk69ZriGyURO5c2cuV/TggIGDl6g13793v1mvwq5cvW3o1MnL27Dd8ss9s9adrVqvse/ee3JVJCa9d32v31pXJkiV1feYmz8e1hAniu85gvn6ZrNeICaRsVKnZUELhml4+P/6oxOXLV9dt2CrVKlWqFNKHNnKabOfDxDUCkRCV8mB+X0vaZ7g3KTllK9RSd+zlypbOnSvHuvVbrh5uC2gAABAASURBVFy9Lj1qab4kLOu8y8QpM1UHI0xRuQqbLLFRabER7cSS+JPmRm76+slnhtRJNZgj9/ZfN2hu/Lp62WzpzznkSZ4+j6bPaOjQxst+i3fb5n17emsmyOWzXKXaJ/T266vqVf47tI99U3LH9+4PHXrKmUh61LC+ZjptEo6dPmtBqZLFFsye5PBV3HhxVaji1atXJcp8Ia2wRG1XLZ2t/qIENWrWbSaJ/r07tf/he7WL3Js1aW77h8jArARfJfHs2fOmLbzXb9omwZQzx3aZiX1AiWl10P/Zs4yeRSVRvGihJfOmqnv7ly9f9h00Sk1JWPjL5Irly2r6oxAFipeTxDd1a/44aqAK8I8aN2XIiB8lsXHNgg+KFZbEn38drFzd1jmQLsLQgd1VtkePHtdr1Equ2ZI+d3y3ivpfuny1aKmKmj7O8MuMCWqM1yjMwwb2sA9JODN5PvIPDAwIdPpXPy9fpY7EDaWjsH3Tr65HIczXLzP1OobgWiYd1v6DR0tCGuo+PTqop4E2bN5W79tWkpg7Y8IXlctrEWnnnXGNiBDKpCEq5cHkvibb5xiOMtm2Y28VNdi0dqF0QiTx1N+/aq3Ghw4fl+J06fRe+6kEt+/4dus9RMYt1K/S7u3autLhgJG+CpsssVFpsd2eW5ZnnofBa1q06fr4yVPNahOnzlRRBmlBpk8Z7RCwTJM61aJfphQpnF/SY8ZPlXj/Gw948PAx+ZRmK2nSJA4/RjsoIwbSlkmii3dr4y+W/eSjxg3rSMJn+lzjD02ZNkc+s3tmVVd9kSBB/JFD+0hC4sTLV/6mAeE4eOiYSowc0tuYQSA3Rf17dVQPIu0/cERtnLfwV5Xo3b2Dce3v1L6FWp1ELu1qy/adf2j6dKH+fToZ2ZIkSTx8UE+VPnrslEpM9rGVW7nV/2nsEGMmefUvK+bOlV0Sv2/f4/rMTZ6PVCjnWjZ05Hg1O0n6Im+c62i+fpmp14ghfplv6z3LyJgRZRASs2va2Datt58eg9Ai0s474xqByIlKeTC5r8n2GTGZ3NurKMPgfl1VlEEkSpiwY1vb8KEUp6PHTxmZJcJV/KNKRpQhPJG+CpsssVFpsREdEWhAiOZNbYOo+gMUYzVLSfzy55nzJSHNTddOrcPMI7dJqmVMnPjdS5evuT6gNEPqabRCBfO6yPbX/sOafsP2efnXloqoVaOKpv9LDx2xHeT58xd79x2SRKMGrz0emem9DBLT1fRnyTQgHPfuPZB7IbnZLpD/tbVU48aNq66v167fVFt2/7FPPsuXK5M+XRojW6xYserXqaHpz1+o62tAQIBECv5T9mOHi7oUSJW4eetvTS+302bOk0Svbu2TJ09mf8AVi2ce27915rQ3VGST5+NMBh9U56Z75zbyb3f5RyJQv0zWa8QEAQGBqjNat1ZVh5VNP//sU02fMKxCXSbb+TBxjUAkRKU8mN830u0zYg4pBpr+4GSr5o3tt1eq8J+/dq47f3xPIbsLtNzqqycsRg3r6922eZgHjMpV2GSJjUqLjeiINRoQosX33x47cfqPvQfk7uXLKuU/+fhDzSIHDh1VPcKvv/rSRUC0csVypw7vSJc29ZuOJ13MKyoh1+bZcxefOn0uODg4f773JSZq3IxptiWdbXHZAvnzOPzRgvnzqMTZcxclanv23AX1a5FC+R3+UIniReQ/iDGADDirXrWi/DhvlwCEmsWTN08utWXn7r2a/oSFQ87ChULWWL1y9boMc/Xp4S0/zgfcf/CoSqgJC7fv+KpfS5f6QD7/vu27/8Dh2HHi5M+b274WuGDyfBy+ffEioHOPQZoeNzQzxdF8/TJZrxET3L13XyUyZEjn8FXidxOphMQaMqRPa7KdD/OvcI1AJESlPJjfN3LtM2KUy1dsw3ISVpCxusDAQOnDnzt/KUf2rHnez5kzRzaHzHHixPFq0qBt66ZyPR00LOxxiKhchU2W2Ki02IiOCDQghIwa/TR2SLGPKkm6Vbvuf+5Ya/TnwuN79540amF+5eERyzNbFrXgrTRVamP+vO9rLk/ATJRBnDh1RiUqfOm4msPYkQO++7aOSt+7/0A+U6RwfCNg4sTvqoTcm8nn/QcP1a/JnVbOS5bM9rop6fK+fPkyQu8L1BDjjRgdsgbkRx8W1/SVDtSvzgsdJUsaUvDu+N4Lr+MoA7wDhtjmiss4QL68ubXQ0ivix3+nUrVv1CiZUqNqpbEj+7teCTLS5zNv4a9qqHnYoJ7yp7U3MV+/TNZrxARpUqdUCdWTtnf9xi2V8NPfumqynQ8T1whEQlTKg8l9XwQEqI2Ru14ghlDTGz2zZf5l/tJ2nfoY26Wf4DNpVOUK/7HPvGTe1De+rCTSV2HzPYqotNiIjgg04H8kNDByaO+uPQffvHW7/+BRo4f3c51/7oJlLpauvXJ2XxK94bj19x21xRjaNcjoqKa/</t>
  </si>
  <si>
    <t>EUf9qhLx4sV13WM7fuKMkZY4q4wMSKBUTTj07tovceJEtWp8IemHejfU6LAaJPQrrfCTp/5Cfn0SuiaF842Z0RV49vxFmC/+BMIkQwHquYZGDb4OWZ8p9DVOKZI7X4ZDXp/+7NnzMI/26tWrth17qfkRo0f0V+MAf4dWqy9qNpI7fymf7+fOefrMOSnYK1avP3Xm3I5Ny6UqaeGI9Pn4zJir6QtDVHj95bXhMV+/TNZrxATSIS5YIO/RYycnTpnVtHH9JKF9ULkHm6S/ZkU8evxEM93Oh4lrBCIhKuXB5L7PjNu2iF8vEHNcuXpDPidNna2mgKnZjmfOXpC265vGrX+ePMr+omnmlaiRvgqb71FEpcVGdMQaDXhN00b11IOCM2YvVG+djDq/R49VwghYGtJlLSQ/6bMVVj8ZPIvIjzEUHJ5r121tqzRJm9ctWr5oet+e3tOnjN65ZYW6rnfo3PeR/heDgl7KZ7y4YdxrJUmSWD4D9QfGXr58pTY6D88mCJ3ZFRQYqAHmLFi8okMXW5AuS+b3BvXtojYaxcy5QCZMGFLMAsIqZkFBQZ17DFy8bLWmP6ZRp1ZVtf22712VkChDhzZeF07+uWntQvls3eI7Te9qTJw6Uwtf5M5n/8Ej6nWDrbwamxy/NV+/TNZrxBDebW0vOZIOdNVajfcdOCyd1LPnLjZs0kaiDyqDmjFnsp0PE9cIREJUyoPJfSN9vUCMomYXSiMpnY3tG5f9uX2N/GzbsFRGAjT9ovnwoV+EDhjpq7D5EhuVFhvRETMa8Bq5eZg4bqh6Z94PHXr+sX1NEqfogKFJo7qd2rcM8yvpAho7GpHLk6fOmnk4Qsas5PP4yTPLnVZUqlm9Sv68uadNGvXj6EGBAYFJQwOlmu25jNwjhvSWc5aA6JFjJ8uULpkqZXJphZ/6P3P+E6qtTJTQ1nQmTZpYbfSXnK/HWB/rI2aaXQ8AcCE4OHjUuClDR47X9DH/1ctmqwunZruChlQHf6dhqEehxSxRQsdiJsH971t2Wr9pm6a/cX3K+BHGV/HfiacSsr1fr44qHS9eXAlt/LXvkEQE5i1c7t22eXj1yDNb5kicz9wFIctKq+Wd7K3bsPXAwSMOG9u38TJfv0zWaw1uxEU7X6NqpZVVN6xYvV4iC/bzeGW7bJSEusSYbOfDxDUCkRCV8mBy33ihzXuE2mfENGoKgCR+njzKWJi5UMF8E8YMqVX/e/lq+84/w1xDKjyRvgqb7+FEpcVGdESgAY6yZc3832F9uvQYpB6gGDOif3g5kyVNmtFppS5n6dOlVYnDR0+UK1va/qv1q+Ybz02IytUbGOkzZ8+PGe/jcKi8eXLl1x9Qt80ed7qQf1qmlEqcPntemkL1dx84BXRliFg1zaqfmiZNSOxDQr+ZM2W0z2ns+07oVR8IT2BgYMduA9TDRPny5Foyf5r92stSYlWfwM9pQEA9aq7ZVrl7Lah3x/duvUat1BLQdWtX+3HUIPtyaFSrul9Xs9/Lw8OjTu2qEmiQa/nz5y9c1KOIno90F2bPXSyJBvW+SpnS8QHLzVt3zJyzyGFjk0b1IlS/zNRrDW7EdTs/Y+qYj0oVHzdhmlpOWKpVjWqVpS6EBBr0KJ7Jdj5MXCMQCVEpD+b3jWj7jBjI0zOrxGGzZH7PYQlG6Wmr8iMXzepaBAINWmSvwuZ7OFFpsREdEWhAGJo2qrdy9YZde/6SO4dqX1TQokYthiecBzxLflDE/lcjOiuSJkminjezJxu18BmPZgQF2mZepdcnj929e88h28PQVi9NmlTymTZ1KvWrc8On1m1SLykEXHj85Ol3Xu23btut6df4mT7jnC+WGTOmP3P2woPQxcAMxpbUdk8tnjt/qUadJur+qmO75r27d1ATxQ1p04SU24RO4f80qUK+evL0qYt6FKHzESv1uzvRrLHjMlGa3ntw/kPSY04bP6r1y6Few524buelzHs1aSA/9+8/fBX8KlXKFLLxz78Oqm+zZsmkmW7nw8Q1ApEQlfJgft+Its+IgTK9l0ECDWGuBpI2bZonFy/7WfS8oZmrsMkSG5UWG9ERgQaEQQZFJ4wZXORDW4jBq3UXLWqkKZQI6M7de9dt2Lpo6SoZjzKzV/lyZeTHebvc0VWu9s3tO3c7tW/R0quR/VeXL19ViRzZbe/1yay/jGfvvkMydGC/8JIEUFSicEHbS3eSJw/5aseuP42orbJx83b5/LBEUQ0In/+zZ980bq3KVZNGdUcM7hU3rOcPs2fLIpfhDZu3dev0g/327Tv/1PRXYRvzgy5eulKlRkO1vNNPY4c0qPeV89GM1/4dP3G60udl7b+6cdO2LH+G9GnlmOHVowidj7Jl2y5N7wcXKZzf+WhdvFvJj/P2V69CHt10Xb/M12u4Exfl88jRExcuXcmYIb3Eo+1XMl+1ZoOml0/1ujWT7XyYuEYgEqJSHszvG9H2GTGQmhRz4tTZ589f2K/6IZddtXxD0cIFTB8sqldhkyU2Ki02oiMWg0TYZLBo1LC+mt37zKOiV7f2KtGybTeJNThnePbs+bifphnTGVxI/G4iySZntWDJyqDX14wxViMvWMD2Pt7qVSupX9eu32KfbYm+rp7chnlmy6LpUZUWzRpKYs68pWp5CMXWzdVbaofeAOBg8LBx6hop19cxI/qHGWUQ9b6uLp+HDh9X5Up58SJgweLlkqhQ/lO1RUp1o2btVL1bPHdqmFEGTb9sq/jCwiUrjWcg1e5z5i/V9CWjNZdMno9h9559mt07sU0yWb/M12vEEON++rlZy05NW3gHBPxv0TsZHPtFL961alRRW0y282HiGoFIiEp5ML9vRNtnxEB1vgpZHHrp8jX221ev3aQSxYpEINAQxauwyRIblRYb0RGBBoRLxmY//qiEiwznL17eum23i5/A0FWRZUiqZ9d2Ki2xhu+ad5g2c560R9eu35Tw53/HTi5eutKAIWNUBocHF52pheiOHjvZq99w9b4c</t>
  </si>
  <si>
    <t>aRNHjJ6oQhidO7RMqz8qN0ZpAAAQAElEQVQGmT5dGnWT1r33EImeavpafWMn+KzbsFXSHdp6GXPRm+sXfmleW7fvoTq1V6/daOzVQdNv52pWq6wB4ZByOHnaHE2/QJYoXsS5FhiL5FeuWE6tBd2gSRv1pmj/Z8/kPkrF11o1b6yyzfxlkXqTZZWK5WLHju18QKk1KmdnfQaBXNS9WnW+d8/2bmq5qHftNVi9GKJG6OU8PCbPR7l567aKfeR9P5cWQSbrl8l6jRiioh5Hk4I3YfIM9ZJ2Sdeo20yVz3Y/fK+ymW/npeJ4te4sP5u37ozovlwjYM98eWjbsbcUuYlTZkZ03wi1z4iZJO5f4TPbDbwUs982/q5CV/sOHO7cY6AkihTOny1r5ggd0PxVeLLPbCnYbbx7GfuaLLHmW124h1j2S/G5gZu+tsfeMqROqsEc6XJ93aC5JA7v3eT8YOHlK9fUAxSiX6+OHdp4qXTy9KaGFk8f2WF/bzB77mL12r/wFC9aaOSQ3mFOzLYn8YuqtRqrFurdRAnz5c194uQZ1ZbJGO+0yaONJ9bOnb9UrlJt9VV2z6x+fo/UzVKZ0iWXzPOxX65Jmryp0+eqdL48udSdnpBs4c3sRZhiWh1s0tx7RejiBWGSeMG8WSFvbJWckl+l7YtZF+9WKhInDXLmnMVdT+0ZNrCHMa2x76D/Tpg0wzjglavX1b72eVx44/kYDh4+9lnlOpKY8/OPVSO+bouZ+mW+XscEXMukg1ut9nd/7D2gfpUG3Bgom+kz1j6OZrKdP37idJnyNbXXawfXCPMok/ZMlgfVWbK/Cpjf13z7HGNRJk+fPV+r3vdqOSe5RKqFEjT9IcdNaxemThX2Qh6Dho0dM95HCtWurSvtt5u/Cjds2nbtb5sl8eDWKWN3kyXWfKsb07hleWZGQ0zn4eHhkLCXNUum0cP7uchg8uBK44Z1Dv6xoWO75mpNL4OaBD5t0qgNq+e/Mcog4saN++ui6d07t9Fsy935S5son3IQ2TJ35k/2dyM5c2Tbs211qZLFNH3gV7VlXk0azJ0xwaEtGz6418ihvdW+qnGU5m/Zgp+JMsC1U2fOuc4Qy64WyN3Rml/nqIieKmZS5OS2p0eXtiqDFNE3PkDkETu2kR7Yp8ssn3FqGEEOKPsWLJB3xJDeZqIMZs7H8PBhyEJNuXJm1yLOTP0yX68RE8SJE2fujJ+aNKqrflVRBrlArFwy02G2jtl2PnSgzL4GcY1A5JgsDypDrNf7Qib3Nd8+I8Z6P1eOnZtXqHdYyhVTogxSSGzvAF48I7wog6a/yd72GcdxnT7zV+E4cWI7H9ZkiTXf6sINMKMB/4JXr1753r13+7bvU/9nObJnddEauiZDXlev3bj19x3PbFnsXyXoTNrKU6fPvhMvnoRO1EvRwiTVQcaEJTb8Xsb0GTOkix07toYIog6aIeVfgvopUySXS7L9Gk6RJpdqOaBcvx2ieP/W+YTJZP0yX6/dGPXI8Ojxk8uXrz57/iJzpozp0qZ2MbHWZDsflX1j8jWCMuksKuXB/L7/TPscHVEmDXLdPHPuYlBgYL68uePEiepK/1G8CpsssVFpsd2SW5ZnAg0ArEQdBKKOeoS3DWUSbxvKJNwJj04AAAAAAAC4Qq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rGCg4M1N3LT1++x/4vECd/RAPwbHj99rsWKRR0EooJ6hLcNZRJvG8ok3ImU58SJ4mdInVRzI8xoAAAAAAAAlomjuR0JbbpZNAiIRm7qn9RBICqoR3jbUCbxtqFMwp3c1NwQMxoAAAAAAIBlCDQAAAAAAADLEGgAAAAAAACWIdAAAAAAAAAsQ6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E0dDjLTnz/0nTp1R6a9rfpksWdIws128dGXLtl0q3eTbunHi2ArM4ydPFy5ZIYmyZT7KmSObff5Hjx7vP3j0+MnTx46fCgp6WSB/nnx5cxUqkC9d2tRhHj+i+cMTFBR07sKlo8dO3fr7dtYsmYoXLfRexvRh5jx0+Lj8uQcP/Qrmz1OkUP6kSZOEme3K1et79x26cfNWDs+sxYoWypA+rQa4pArzpctXn/r7e2bNnDdPLs9sWcLMabJ0Xb9x6+jxU5cvX40dJ072bFmkuKZMmTzMnPfvPzx24tTxE6cTJEggVfKjD4vHjh1bM831+Vy4ePmh3yMXu6dOlTJzpoyaCSZrn/+zZydPnZXq/Pz5c0/PrPLPSZL4XQ0xnsnyE5V9afkBRC8nTp0NDAh03h4nbpz8eXM7bHxjbyEgIFCuv2H+oWTJkkgHW3sTk62on9+jnbv3Xrp8TTo2xYoUlJPx8GDw2w0RaIihVq5e7zNjnkonSpjwm7o1w8zmM33u1OlzVbpu7eqqu3/v3v2uPQdLYvL4</t>
  </si>
  <si>
    <t>4faBBgleNP6+/d17940tK1avV4lZPuOqV63ocPCI5g/Ptes3G3u1l36k/cbundt07dg6VqxYxpaHD/1atOm2cct2+2zjRw/69pva9luCg4MHDBnz48Sf7Tc2rF9r7Mj+Ks4COJv1y+I+A0Y8eepvv9GrSYPe3dsnSZLY2GKydMmd9pAR4ydNneXwV0YM6f39d/UdLsbTZs5T9dFQsEDeKROG58mdU3sTM+fTtdfgrdt2uziI5J8wZrDmksnaJ3b/sa/ety3t/0umSpli3H8HfFG5vIaYynz5ifS+tPwAoh0ZZvu4XPXwvn1w65T9r2Z6CzL09/kX9cI8WpWK5ebNmqiFz3wr+uvKde079bG/0MuZLFswTS73GtxL7P79+2tu5LH/C/lMnCi+Bpc2b91x4NAxlZZhw7q1qznnkfarWctOAYEhgVLvts3feSeeJGR4c+rPv0jiy8rl8+d7X327YfO2r+o2kxskSZf95KPPy31SskTRVCmSn794WdMjCNLKSOjUOHhE84dHhlvLfFbj6rUbki5XtnSlCuV8fe9JoHTXnr9UlNT4t9T9ttXvO/ZIusJnn372n48f+j1+8ODhbxt/l/HYooULGAccMXri6B+nanqr91WNKnHjxFEDy2fPX6xRtZKGN4mBdXDR0lVtO/aSmiLXyLpfVytdqoT/U3/fu/cOHj529tyFWjW+MHKaLF0duw2YPmuBJHLnyl6nVrVCBfJeu3ZTKotU2+TJkhYvVsjI2bPf8GEjJ2j63XiDel9lzpTx9Nnzt+/4/rZha4O6NePHf8P/BTPns3jZKhlzcHGQD0sU/fyzT1xkMF/7Vq3ZWKdhC/kv+W6ihDWqVZI24dCR4/IP/3XlbxXLl02fLo0WY3AtM5gvP1HZl5b/jSiTeNtQJs9fuPzzzPnhfStDbkbaZG9h89ad6zf+HubRZGTRvj/jzGQrKkMXDZq0kQt9hvRp69Su9l7GDNJTkjNZt35r7ZpfJkgQc/9vumV5jiXxJ82N3PT1k88MqZNqcKlbr8HGjAZx/vge51nZ23f+UaNOU+PXK2f3qRkNl69cK/JhBU2f0VDv65BIaqPv269eu1FuD35bNd9+spaEAL6q9/0FPXxw9dz+xO8milz+8LTt2HvugmWS2LR2YfGithuwp/7+VWs1PnT4uBz80um9KowqkYsmzb0lIUOvEl6VxLNnz5u28F6/aZtkO3NsV8IECTR9snqB4uUk8U3dmj+OGqj2HTVuypARP0pi45oFHxQrrMGlmFYH5TY4o2dRSUjxWzJvqnoK6eXLl30HjVJTEhb+MllukjXTpevPvw5Wrt5A0ydEDB3YXWV79OhxvUat/th7QNLnju9WUf9Ll68WLWWb+CPjDL/MmKBmOhhFfdjAHi29Grk4c5PnI/9A52mZ/s+el69S5+at29JR2L7pV9ejECZrn9wTFi9d+crV63LM3VtXqv+SRmvzxrEUN8O1zGCy/ERlX1p+MyiTeNtQJo0m7uyxXfHixrX/yiN2bKMLbb630LnHQBnnKFWy2ILZkxz+Vtx4cV00tiZb0VevXpUo84V08vPlybVq6ewUKZLJxm079tSs20wS/Xt3av/D91pM5ZblmedhYjTpaanE+k1hxC+Xr1qvmSNdN4kaSKJXt/YOj4RJ0HTaxP+q9LbtuyOXPzzSrqkow+B+XVWUQdOfBOnYtrkknjz1l0iq2jhl2hz5zO6ZVfU1hQRNRw7to7ItX/mb2jhv4a8q0bt7B2OiV6f2LbJkfk8SapAZsHcwdGbQyCG9jbVOYseO3b9XR1W/9h84ojaaLF0S4NP0utm/TycjW5IkiYcP6qnSR4+FlOrJPrZSLbflP40dYjxPUf3LirlzZZfE79v3uD5zk+cjHYukSZM4/AwdOV6iDPKt9EXeONfRZO1b89tmiTJIYta0ccZ/yaxZMrXSO0DrNmyV8I2GmMdk+YnKvrT8AKKjY3ovt2CBvKlTpXS4TNsP1JnvLRw8bOvSSFDA+brvIsqgmW5Fd+35Sw0ldvFuraIMmj6vuXHDOpr+vLYMOWhwIwQaYrS0adOo6Uy/rlzn8NWLFwHLlq+RRJNGdd94nOfPn6vExUtXnb8tXCifNCLly5UxHseKaP7wLFq6StOngbVq3th+e6UK//lr57rzx/cUKpBX/3Mv9u47JIlGDV57KDfTexkkaqvZ/fN3/7FPPuVP20/SjhUrVv06NdSfowWEg3v3Hsg1Xgphgfzv22+PGzeuur5eu35TbTFZugICAuTa/5+yHztc1KW4qsTNW39reqmeNtM2KUmidcmTJ7M/4IrFM4/t3zpz2ljNpUiXdhl8UAG+7p3bFNSrmAvma9+M2Qs1fTDEYfS4e5e2h/7cePn03gitcAn3YL78RGVfWn4A0ZEaTitetKCLPOZ7C9LQqfXOChV8w5XdmclW9K/9hzV9KOXz8q89cVmrRhXN1r25fejIcQ1uhCWOYrqvqldesXr91m277967bz8ylLM0JgAAEABJREFUuW3nHrnPlzul4kULzZyzyPVBpOUqUji/NE/SlpUsUUSipPbrvkhDs3zR9KjkD8/lK7ZHxyWsIAHawMDAYydOnzt/KUf2rHnez2m/SuXZcxdUokih/A5HKFG8yB97DxhDxDt379X0OfAO2ST2oRIy4iqDYxoQqnrVimEuXCoBiBP60s158+RSW0yWrj49vOXH+YD7Dx5VCTUEcfuOr/q1dKkP5PPv2777DxyOHce2yrQRknAtcqVdQpCdewyShDQOZqY4mq99apTjk48/1PRX2xw4eOTe/Qf58ubO4Zk1iYmVruGWzJefqOxLyw8gOvpTf6Ay7/u5Vq3ZKLfo9x88zJM7x4clihltlxaR3sKFi1dUQrbPnrv41OlzwcHB+fO9L4N/b+xXmGxFD+kzJgrkz+MwlFIwfx6VOHvuIo+quRMCDTHdZ+XKqMT6jb8bk0uFmlMqo4v2L25w4YcW333fqrMk5LND575VKn0mDdOH</t>
  </si>
  <si>
    <t>JYpmy5rZkvxhUkO7ntky/zJ/abtOfYztEiv1mTSqcoX/qF+l5VWJ5E5v8UyWzPaSMwmyvHz58kVAgNpozOb6X7akITve8b1HdxNmjBgdsqCAWtNUrXuqRbZ0BQQEDhgyWtPLdj79aSPpK6iv4sd/p1K1b9TIrVKjaqWxI/uH985aJdLnM2/hryoiMGxQT/nT2puYrH2aPpQhn+9lTN+xW3/74Ga+PLl+njL6/Vw5NMQ8JstPmLNdaPkBuDG5aKqZv517DHT4qkWzhn17dVQ38+Z7C8Zr7yt8Wd/hgGNHDvju2zrhnEgEehQyfqBnc1wVLnHoS6yNs4V74NGJmE6aoTq1qmq2FRn+96SrNBnqqYTqX5p9x2StGl8s/GWySkvDt3jZ6tbtexQtVTFf0bK9+o9Qj15HJX+Yrly1vWxi0tTZKsogI71qsFcO+E3j1stWrA05/pOnKuF862V0QJ89f/E09EmNFMmdG8qQl64/e/ZcA95EhgLUTMVGDb4OWaM0CqXr1atXbTv2UvMjRo/oH9J1+PuO+vaLmo2k3yABCPlDalWIFavXV6reICCsF2sbIn0+PjNs77vNkD5tBZdvmjCYrH2+d0Nec9v8hy4qylCkcH71/m35h5f6tOrFS1c0xDwmy09U9qXlBxAdndR7BUrBAnl/aNmkSaO6qhswdfrc3v1HqK/M9xaOnzhjHFAG/7zbNv+qehX1q3fXfkan2pn5VvSh3yP5TJM6pUM2Dw8PdUr+/m94aBrRC4EGaDWqVdb0983I8I7asmXrTk0fSFT37SZVLF/21OEdwwb2kObJ2CgB10lTZ31crvpm/ZhRye9MjazKaWfJ/N72jcv+3L5GfrZtWKruTzp07vvwoW0F15cvX6n8zgOwCULnbgUFBhrZHFbuFQkThmQzXvYJhGfB4hUduvTT9IcLBvXtojZGunQFBQXJYIVE4jT9MQ0VFhS3fe+qhNSCDm28Lpz8c9PahfLZusV3svHM2QsTp87Uwhe589l/8IgcWRKtvBqbXDHBZO27Ezq3U1qA8uXKnD22a+tvS04c3DZt0ii1vVP3gRpiHpPlJyr70vIDiI6MFaDG/XeA9IEH9+s6ZkT/w3s3l/ygiGyUkL2avGC+t3Dtum30Tm74N69btHzR9L49vadPGb1zywoVApBO9aNHj8M8E/OtaFDQyzCzafqi1/IZyII47oVHJ6CVLVNKJYynJ5bpS2TV+7qGFkHp0qZu6dVIftQj1jt27f115borV68/eer/dYPmM33GOryQ3Ex++WrcBB+HP1SsSMEqlT6Ttk9NG/t58ihjUbpCBfNNGDOkVv3v5avtO/+Ue7OkSROrr/z9n2mvR1EfP36iEtLvjPdOvJBsToNXj0KzJUroatFdxHDBwcGjxk0ZOnK8po/5r142W104NdsVNGRaYIRK11N//+9bdlq/aZukK3z26ZTxI4yv4ocWV9ner1dHlY4XL66ENv7ad0giAvMWLpfhiOMnzyx3Wi2vZvUqntkyR+J85i4IWVZaLe9kb92GrVKFHTa2b+NlsvYZL/FOlTLFz5NGJQ0dA6ld84tTp8+OGe+zbceev2/7SouhISYxWX6isi8tP4DoqEmjut9+U+uh3yP7FdZSpkwufeASZWwzEeS6KUEHk70F2SiR/R9HDwoMCDQuwSJ/3twjhvT+oUNP6VQfOXayTOmSzmdivoeTKmVyiXc89X/mfBAVxUiUMKEGN0KgAbbXfX1Tt+b8RcuXrVgngQap6itXb9D04VMtshK/m6jsJx/JT69u7abPXtit12BNf7rbIdBgJr+cj9xmOOSX5lUCDZ6eWY8eO6lWrLT/tlzZ0ioGcfrs+epaxTRpQm5OHj70y5wpo33OB/qUB/GO3hCrvfycQrZ++lwv/Tzf1YCwBAYGduw2QL2OIV+eXEvmT7NfezlhggQRLV13fO/Wa9RKLQFdt3a1H0cNeie0uyDSp0urEnW/rma/l4eHR53aVaXrINfy589fnDl73rn65M2TS7oOET0f6S7MnrtYEg3qfSVdGYe9Nm/d4bxqbJNG9UzWPiOCUO3LCvZdHE0Pi6h/wvkLlwg0xDTmW++o7EvLDyA6ihMnjvMbpnPmyCYdYxm0U09cmuwtqJlftmcznUK3n4aOR0qnOsxAg/kejjoZowU2BAUFqYHDJIlpbN0Kj07ARt3/S+zT9+69jVt2SFqCoCbXrhcduvTLmb90zbrNnL+KHTt286YNWjRrqNluRXY+1R++ilB+CbuqxRfsf1RTpc5QzelykDat7R5PNXlpU6dSG52bNrVamHoNociYMb0tW+gSYgZjS2qn58oATX9LggQFVJRB4lzrVs6zjzIoESpd585f+k/F2irK0LFd88njhzvcTaVNE1KqEzqF/9OkCvnqydOnSZMkca4+slGLeGlfuXq9SjRr7LhMlKb3Hpz/kJyzydpnTP1wHp02elFGfwUxh/nWOyr70vIDcCdqUcZAfaVbk70FF0czVmoMCgz3uQaTrWh6/dHmu3fvOWR7GHp9TxN6tnAPBBpg88nHH6rb9Q2bti1bvkYSdWpVM7+7RCLv3rsvcYpboUvOOMiQIZ1KBAdHOH/qVCnV4gv2P128W8m3apBKQrbPX18M7NWrV2r5hqKFC2i2t2mGrPu1Y9efDn9o4+bt8vlhiaLq1+zZstj+I2ze5pBt+07bjnLDkzH0xACD/7Nn3zRuvXXbbk2fa7NwzuQwQ/LmS9fFS1eq1Gio3sLw09ghfXp4O7/8xagjx0+cdvjqxs1bmv7shhyzfLkyztWnvP6umYiW9i3bdmn6vVmRwo4vCxRSJZ3/kFRe87VPrQhz9NhJh2y39P8Omr7YlYYYxnz5icq+tPwAoh2v1p3zFS3bsGlbh+0vX75UoxS59bc1mewtyHjJx+WqyyjglGlzHLJdvnxVJXJkzxbOuZhtRTPrA4R79x16+Hr8d9eev1SicMF8GtwIgQbYyMDjVzW+kMS0mfPVA+FfVilv</t>
  </si>
  <si>
    <t>fvfyoe/INNZftCdb5i9arumPh6lwRkTzh6fOVyEL4y3VgyOG1Ws3qUSxIrZAg4eHh5oiMWfeUvUiPeXI0RMqHmHMCqv3dXX5lAZabVdevAhYsFg/n/KfaoCTwcPGqWtkt04/jBnRP25YqxxppkuXhOEaNWunVmZdPHdqg3pfhXk0uWxX+rysJBYuWWk8A6l2nzN/qaYvGa25FNHSvnvPPs3undgmma99jRt8renv4j5ht5K2pi+uqen/XvNzrOA2zJefqOxLyw8g2kmSJLEMSKz9bbPDoJ26aIoPSxbTTPcWEr+b6MlTf+l7LFiyMuj1FRkn+cxWiYIF8oR3MiZb0eqhD1CvXb/Ffvcl+orXEvLw1AMWcBsEGhCiZjVb5VfDieXKlk6TOgKTl76sXF4Ncm7csr1sxdrTZy2QaKXv3XsSPZV27YOPq6iV6mtWrxy5/OGRex4JRkiibcfev238XXUl9x04rF4pLH8iW9aQFe+a691NaUBbt++hXuRz9dqNxl4dNL0Jrlkt5A9VrlhOvbGiQZM26l2+MljdtIW3enKsVfPGGvA6qTKT9fC/lJwSxYts3bbb4ccYojdZumb+skjdaVepWC527NjOBzQWmu6sz+uRi7pXq8737tneTS0X9a69BqvqE956KIYIlXbpzajYR973c2kRZLL2fdvgaxVYrNOgufoniF/mL1UvCv32m9oaYiST5UfTLwQyxDdxysyI7kvLDyDaMVqwZi07GrGGNes29egzVBLFixaqGHp7b7K3oJZ5lk5Lr37D1dsoJeIwYvRE9cL7zh1apg1d+Gayz2xpbNt49zJOxmQrmj5dGjV80r33EPVSjODg4LETfNZt2CrpDm29nOdvIlqLFazmsruLm7624fEMqZNqcKlbr8E+M+Zl98y6f/dvaktgYKBnng9VizDpx2HGqvISGZUumiSunN2nJoRfvnKtyIcVJDF5/HAVwtT0BuWH9j1XhD7F7WzEkN7NmzYwfo1o/vCcPnu+Vr3v1SRzuUvJmDG9ajezZH5v09qFqVP978FaadSmTp+r0vny5DJGTZfM8zFmWGj6W4WbNPd2ztbFu1XPru00vElMq4NSWlwUY02PF8ybNVGl31i6pEHOnLP4k6eu3iM9bGCPll6NVLrvoP9OmDTDOKB6Y4tDHhfMl/aDh499VrmOJOb8/GPVLypoEWSy9q1as7GxV3uVliosjZKq2vIXZ0wZHSdODFq9mGuZPZPlJ3l622ibfY3TaPmtQ5nE24Yy2X/w6B8n/qzSMrp2+7avumjKBXTZgmnSyTdymuktyDW3aq3G6v5fetT58uY+cfKMylbp87LTJo82Zhk3bNp27W+bJfHg1injT5hsRc+dv1SuUm11WDlDP79HahijTOmS0iyHt7hvTOCW5ZkZDTGUjJQ6bIkbN27d0KhB5Qr/MbZ7eHiEl7CPOyZMkGD6lNFD+ndT7+81SKsknbnli6Y7RA0imj887+fKsXPzCvWCDGm2JMogR5Do7IrFM+yjDGL44F4jh/ZWraRq/qSBW7bgZ/u+pqZHdtf8OkctEqayyS7SEPfo0lYDnJw6c851hlge/2tm31i65HLrOsogPOwq78A+XWb5jFPDCHJA2bdggbwSpDMTZdAiUtofPgxZqClXzuxaxJmsfdW+rLBzywo13Um6QdJhkn9ai2YNp04YEaOiDHBgsvyoDPY1TqPlB+C++vb0njZplFoy+dDh4yrKULvmF9s3LrOPMmjmegtyI/DroundO7fR9B61RBzkUw4uW+bO/Mn+WeY4cWI7n4zJVjRnjmx7tq0upT/WceHiZRVl8GrSYO6MCTE5yuCumNEA6wUFBV28dPXv23cyZ8ooLc4b50FFNH94Bzlz7mJQYKCEYF3ck0iBVzcw72VMnzFDOueAi8H37j0Ju6ZMkVxOSb31B2ZQB82wvHTJpVoOKNdv5zdd/SvnEybzte+pv/+p0+dSJMfTBdYAABAASURBVE8WYx/XpB45M19+orIvLX94KJN421AmFWnf/r7tK02cNFye2TK7bhvN9BakR3312o1bf9+RS7DzK7TeyGQrKlGMU6fPvhMvXtYsmYw3T8VkblmeCTQAsBJ1EIg66hHeNpRJvG0ok3AnPDoBAAAAAADgCo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8QKDg7W3MhNX7/H/i8SJ3xHA/BvePz0uRYrFnUQiArqEd42lEm8bSiTcCdSnhMnip8hdVLNjTCjAQAAAAAAWCaO5nYktOlm0SAgGrmpf1IHgaigHuFtQ5nE24YyCXdyU3NDzGgAAAAAAACWIdAAAAAAAAAsQ6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TBwNsMKK1et9794zk/O7hnXixo1rJuerV688PCIcC9vz5/4T</t>
  </si>
  <si>
    <t>p86kT5vmyyqfawCAt8zVazcWLF5R8oMiZT/5KMwMV65e37vv0I2bt3J4Zi1WtFCG9GnDzHb5yrWDh4/J0bJlyVy8WKGMGdKF9xcPHT5+/OTpBw/9CubPU6RQ/qRJk2immdzX5Dkjepm/aPlTf/9qX1RImyZ1eHlevAiY5DMrZYrkjRp87fBVQEDgyVNnw9wrWbIkWbNk0t7EZLny83u0c/feS5evpUyZvFiRgjlzZItE9wnR0YlTZwMDAp23x4kbJ3/e3A4b799/eOzEqeMnTidIkEAKyUcfFo8dO7Z9BkosrEWgAdYYO2Ha0WMnzeSsW6uamUCDHK1T94Fj/zvAuaF0bdWaDVOnzy1VshiBBgB42zx56v9N49bSOW7buqlzoCE4OHjAkDE/TvzZfmPD+rXGjuwfJ87/eiyBgYH9Bo+e7DPbPpscbfa0cUmSJLbf+PChX4s23TZu2W6/cfzoQd9+U1t7E5P7mjxnRDtzFyxr27G3JArmz+si0NC5x0DJmS9PLudAw9HjJz//ol6Ye1WpWG7erIla+MyXq19XrmvfqY/ULGNLwQJ5ly2YliplCg1uLSgo6ONy1cP79sGtU/a/Tps5r2vPwfZbpJxMmTA8T+6cxhZKLKzFJRDW8Mya+cWLF8avz5+/kKCmJKTVkGilfc7YcWK/8Wiy76cVamkAADciAYLW7XucCGfETIwYPVH1U6XfWbrUB4ePHP9j7wG5i3v85Mksn3FGtj4DRkpAWRLvJkpYvWql/QePnDl7YduOPVVrf7dqyUxj0oH0wr9t1m7Xnr8kXeGzT7NmeW/Ltt0XLl5u16mPDNw1+66+i1M1v6/Jc0b0cvHSFRVlcG3ilJny/zq8b0+GX9TfyGS52rptd7OWnSQhQ8eVK5a743tv9dqNMlRTqVqDjasXpEiRTIP7unjpqsmcPfsNV5FZ6ZbXrFbZ9+69FavXSzmpXd9r99aVyZIlVdkosbAWgQZYY6bPWPtfpTdWvHRlSQwb1LN2zS+0CAoIaxoYACD6OnL0xA8derqIMly/cUu6qpL4pm7NH0cNVINgo8ZNGTLix5WrN+w7cPiDYoVly6kz51SUoXrVipN/HJ4gQXxJL1q6qmXbbtJbXb9pW93a1dQB1/y2WUUKJowZLANrknj27HnTFt6Sp//gUfXr1kiYIEF4J2NyX5PnjOhFwkzft+7sOs/tO77deg+R/8su8hw9bhtSLlWy2ILZkxy+ihvP1dROk+Xq1atXXXvZxqjz5cm1aulsdZMmEbeadZtJN+yXBUvb//C9Bvd18nRIc3r22K54r08W9rB7JuLS5asqylClYrlfZkxQDylUX12xSXPvm7duL1yysqVXI5WTEgtr8TwMAAD4fxQcHDxw6NiyFWufcDlcNm/hryrRu3sHY6ptp/YtsmR+TxLTZy1QW1av3aQSndu3VFEGUatGFTXtdvPWHcYBp0ybI5/ZPbOqSIGQ/COH9tH0JziWr/zNxcmY3NfkOSN6Gf3j1EOHj7vIIKPBxT+q5DrKIA4ePiafcouVNGkShx8XQS7NdLmSWJjcnkmii3drYyi47CcfNW5YRxI+0+dKxESD+zqmxwUKFsibOlVKhwKW+N1ERrbJPrbWLEP6tD+NHWIshVD9y4q5c2WXxO/b9xg5KbGwFoEG/Au2btvd4Lsf8hUtmzx9no/LVW/bsfe585eMb8eM92nfuY9Kd+4+oH6jVsb1/uXLlzNmL/yueYfipSvLvnKEWvW/nzBpBjMgAOCtJX3HsRN8NH3W7ppf5xQpnD/MbLv/2Cef5cuVSZ8ujbExVqxY9evU0PQ5C6oPWqNqpYnjhg4d0D1/vveNbNK1zZkjmySePQ95iO/58xd79x2SRKMGry2pkOm9DDJep+nPCWvhML+vyXNGNCKjr8NH/SSJqT+NDC+P3DipJ8xHDevr3bZ5mHnkf73qvRQqmFeLIJPl6q/9hzX9AaLPy39iv7vE3eRTBqsPHTmuwX2pCQjFixZ0kUdas2kz50miV7f2yZP/78EEKU4rFs88tn/rzGkhU5IpsbAcj07gHyXjWi3bdlu8bLWxRQa45GfugmVjRvRv0qiubDlw8Mgfew+ob1VX7zt9+9+3fb/zaq+2KNIkyY+ELZav/m3z2kWsWAsAbyfpWXbt+IM05vbjbA527t6r2TrNhRy2Fy6UTyWuXL2e3TNrrpye8uOQR24O1YWjYvlP1Zaz5y6oRJFCjnGNEsWLSOajx06Fdybm9zV5zhqiicdPnnq17iKJzh1afvRh8fCySWDLq0mDtq2bSuxp0LCxYea5cPGKSkie2XMXnzp9TrpAEh2T8VvZorlkslwd0sefC+TP4zDaXDB/HpU4e+4iD++4sT/1Ri/v+7lWrdkot+j3HzzMkzvHhyWKGeVE05/xUYnSpT7Q9L70/gOHY8exvZPCoRxSYmE5Ag34R82eu0RFGSTq2bNLuwwZ0h47frpzj4HSAHXs1l+6dNIkjRjSu0G9rxo0aaPpSz/kypk9S+aMkv5pykwVZejXq+PHH5WQkbFde/6SCIVslBDslt93ff7ZJxoA4C0TN27cS6f3un4Fg/+zZyrhvBhYsqQhC5Xd8b3ncNN+7frN37fv3rBp27oNW+XXIoXzf1m5vPpK+twqkTx0nbP/HTCZbbXIu/fuv3z50uHtbhHa90VAQCTOGW+znn2HSYckX55cXbxb3/G9G162JfOmvvGVIidOnVGJCl86Ljs6duSA776tE96O5uvCvfsP9GzJHbIlTvyuSshdpQY3JSNtalqN9KIdvmrRrGHfXh3VzbxRBuLHf6dStW/sh+tqVK00dmR/YyVISiwsR6AB/5z79x96d+0niXJlSy/6ZYqagJC2XOptG5YWKF5OmsuO3ftv/W3JexnTP3v2XO2SI3u2vO/b3rsj306cMlMS3Tr90KGNl/o2a5ZMRQoXUK/2OXr8FIEGAHg7vfGu7Gnoq85SJHfuqoa8RcK4NBimTp+rLg2aPmli2fxp</t>
  </si>
  <si>
    <t>xtzgJ0+ehuzuFCwwwgfPnr+QvTQnJvd9ZnSvI3LOeGutWbdJvUJi2uRR8VwufWfmxaXHT5wx0jImLEMpEsJQD91IXyhx4kS1aoS9VLb5uvDQ75F8pkmd0iGb9K+kYEvHSWhwU/ZviChYIG+Z0iXlf/eSZavl/7s0jAGBgWNG9Jev/v77jsrzRc1GFy5eloLxfu6cp8+ck2wrVq8/debcjk3LVWmnxMJyTDXHP0eaM5Xo1a29/WMO0pPr0aWtJA4dPv7o8ZMw943/Trzdv69aMGeywwvJPLNmVt3EgNCRJQBAtPPy5SuVcFg7XSRMGDLJVrrOjl8liF/1iwrSw9b0ePR/Kn29ddtuhwPKOJ7DXglCZ+0GBQa6PhnX+0bunPF2uvX3nVbtukti2MAeeXLn1KLs2vUbmh7/2rxu0fJF0/v29J4+ZfTOLStUp6VD576PHj0Oc0fz5Soo6GWY2USSJInlM5AlQtzXtes3VWLcfwds37hscL+uElk4vHdzyQ+KyMaZcxapyQu3QyfmSJRBBuounPxz09qF8tm6xXey8czZCxOnzgw9ICUWFiPQgH/O+QshKz4az2IZioU+1nXp0pUw95XRg7zv56z0edlXr15JP1KCtZ17DKxSo2EGzyJq5lhwcLAGAIiekiQJmTrr7zQFwAhAJ0rouOx5z67t5vz846qlsw7sWZ/dM6uMv9Wq/73qfydNmjjkgP7PHPZ6HHrABOGso25y38idM95C0rVo491TuhMStGrerKFmhWmTRt24ePD4gd+LFfnfWn358+YeMaS3psfFjhw7GeaO5stVqpS2KehPnUqpLad+T5goYUINbqpJo7q+146dO75bvbJBSZky+YQxQ1R62w7b6yRkoE79WuGzT/v16qgmL8jnoL5d1JIK8xYuVxkosbAcj07gn3Pj5t+aHit1nnNoTKO6ddu3UDi73713v0efoUuXr9UAAO4lYYIEauqsn9OgmZ8+21Ykfvfd8Hb3zJZl6k8jylexrRy8cvWGNq2apEmTWn318KFf5kwZ7TM/eOinEu+EdsEdmN83KueMt8e8hb+quTBVv/h8U+gbUu/cCRkK3v3Hvod+ftmyZHZehdQ120PyTsGsT8uUUonTZ8+ryTjOe5ksV+nTpdXsyqQhKChIjcEkSUzxc2fSnVav9bWXM4cU1fck6qpeJ6wKiaj7dTX7bB4eHnVqV91/8MiFi5efP3+hZm9RYmEtAg345yRJbBsjkqYkODg4VqxY9l8ZjU54C5JLI1inYQv13p0M6dOW/eSjwoXy5X0/l3wWLvG5xCCY0QAA0VrGjOnPnL3wIHQhRoOxJXVoSFp6pQGBgQ7rlhctXEAlLl+9Jp9pU6cK2d2pU6vWelQveA+T+X3NnzPeZmfOXVSJrj0HO3+r3ivRrnWzAX06a1FmrHsXFBjuLHGT5Sp9ettt29279xyyPQz4oZ9kAAALKUlEQVS9u0uTJpWGmCdFimQSaAjUnylOG1oGEjpNFkiTKuSrJ0+fOj8mZqDEItJ4dAL/HM9smVXi+o1bDl+dOx/yVEXqVGH3yf7af0hFGbp1+uH4gd8njhvq1aRB6VIfvHz5SqIMWuhzXwCAaCp7tizyuWHzNoft23f+qdnm3KbImCGdJBo2bZs6U4HW7Xs4ZAsICFkNIan+rG/y5CGrNu7Y9adDzo2bt8vnhyWKauEwv6/Jc8ZbLkXyZDKG4fBjjBXLaK38apQKMx4/efpxueo585eeMm2Ow1eXL19ViRzZs4W3u8lylVl/6eDefYcevh4R27XnL5UoXDCfBjfl1bpzvqJlpT102P7y5UvVYc6dK4d8Zghtgo6fOO2Q88ZNW29cFXVKLP4/EGjAP+f93DlUYvLrrdirV68mTJqu6S1RjuxZJRE7dkjJfPHihUocORryYFidWlXtZ0Os3/i7cRANABBt1fva9goh6SJfuHjZ2PjiRcCCxbZHiCuU/1RtUV3Vlas3GO+HV5av+k0liuuvYffw8GihP2w/Z95S6Xkb2Y4cPaGOb8wHdmZ+X5PnjLdcx3bNTxzc5vDz+4al6tulC36WX403XpmR+N1ET576y0DIgiUrg15f326Sz2yVKFggT3i7myxX1atWUom167fY775Ef4+43EB66rd/cEtJkiS+eev22t823wp9r4SyYPEKlfiwZDFN71pX+rysJBYuWWm/4LoUyznzbSW87CcfaZRY/P8g0IB/jjQfasWayT6zfWbMUw87+D971rZjb/UgWZeOrdXbKOLHj6922bx157XrN58/f5EpUwa1Ze6CX1ULKJ2/Nes2tWjTVW1//OSJBgCItipXLJdBn1jboEkb9TZ1uUA0beGtnt1t1byxylazemWV+L5VZzVwJ9at39JFf5l8ds+sn5b5UG1Uq/pJ17l1+x5qvsPVazcae3XQ9M53zWqVjT8tlyEZHjTelGl+X5PnjBiofp0a8nn02Mle/Yard/tJ72XE6ImLlq6SdOcOLdOGLgUinSIpfm28exn7mixX6dOlaVDvK0l07z1EvWJAelZjJ/is27BV0h3aejk8pgp3YrRCzVp2NGIN0jHu0WeoJIoXLVQx9Pa+s3crTX/rhFerzvfuPdD0EEDXXoPPnL0g6RqhN/+UWFgulps92X7T1zYVJ0PqCExvw/8Hac6Kl7a1gNMmjapd83/v3ZVOW/kqda9cva7pcxE9PbMeDV3DtnvnNt06/aDS0rSlzlTA2GvsyAE1qlb84OMq6ikJ2VEGrPYfOKzaL+nzyfaSHxRZv2q+pjdeU6fPLVWy2LoVczX846iDQNS5dz0qV/lrCRC0bd10YJ8uDl+tWL2+SXNvlc6XJ9eJ0BfFd/Fu1bNrOyPbf8dOHjpyvEpnyfxeYGCgjOxp+tXht1Xz8+fNbeRUVwTnAy6Z51O+XBkjW/L0tpG6KhXLzZs1MaL7mjzn6C4Gtu3Xb9wqULycJKR3oV4ZGKZBw8aOGe8j/+t3bV1pv12KZdVajdXdlJTMfHlz</t>
  </si>
  <si>
    <t>nzh5RvVbZIR52uTR6q2Bmv40kIxLS+LBrVPG7ibL1bnzl8pVqq0OK1E2P79HqqdUpnRJKajhLXfqHuhv9B88+seJP6t0kcL5b9/2VS2htIrLFkyT8mDk7DvovxMmzVBpKU7SD1dlZtjAHi29GqntlNh/l1uWZ2Y04P+FEZJ0CE1KUGD37yvVlFRpZVSUQYICo4f3M6IMmr6O7uK5U43HI89duJQsWdIVS2aqK73suG3HHvmUrt7+3b8N6meb1CAto5pG6xE7tmZ7+CK2BgB4+8T2sLXPHrHC6IHI2NqaX+eopRZVP1W6ttIV7tHlteeQpec6y2ecukZIj1n1rb+qXmXf7vX2UQYxfHCvkUN7q/6xOqB0bZct+Nk+UqD+inzG8vCIxL4mzxnRjkdoefDwcDXKqvobsZ1epxU3btxfF02XQRRN77dIL0U+pdDKlrkzfzLu2TRbnyeMHovJcpUzR7Y921aX0ifJyxiPumfzatJg7owJMfmeLYbo29NbxvNUSyjRW9USyvDe9o3L7KMMQqK60maqSQdSnKQoFiyQd8SQ3kaUQaPE4v8BMxrw73j16tXVazd8796TiGnCBOG+ZvyO791Xr4LTpE6prvdSXG/fuXvt+o1EiRJlz5aFJuktRB0Eoo56JFcHGfhKmSK5dFvDWw5drgg3bv4tgYbkyZN5Zs3sYtV0yaniEe9lTJ8xQ7oIRaLN72vmnKMvymSkBQUFSYfn1t93PLNlSZ8ujRZBJsuV3BOeOn32nXjxsmbJlERfD9XtUSYVaaP+vu0rzZQUEs9smV23b3JjL8VJ7vad34tpoMT+K9yyPBNoAGAl6iAQddQjvG0ok3jbUCbhTnh0AgAAAAAAwBU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aJFRwcrLmRm75+j/1fJE74jgbg3/D46XMtVizqIBAV1CO8bSiTeNtQJuFOpDwnThQ/Q+qkmhtxt0CDpscaNAAAAAAAogM3izJobhloAAAAAAAA/xbW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AZAg0AAAAAAMAyBBoAAAAAAIBlCDQAAAAAAADLEGgAAAAAAACWIdAAAAAAAAAsQ6ABAAAAAABYhkADAAAAAACwDIEGAAAAAABgGQINAAAAAADAMgQaAAAAAACAZQg0AAAAAAAAyxBoAAAAAAAAliHQAAAAAAAALEOgAQAAAAAAWIZAAwAAAAAAsAyBBgAAAAAAYBkCDQAAAAAAwDIEGgAAAAAAgGUINAAAAAAAAMsQaAAAAAAAAJYh0AAAAAAAACxDoAEAAAAAAFiGQAMAAAAAALAMgQYAAAAAAGAZAg0AAAAAAMAy/wcAAP//HsrefQAAAAZJREFUAwCJiLog7FG+HQAAAABJRU5ErkJggg==","words":[{"id":"p1:w1:71,70,204,98","text":"Synthetic","confidence":96,"bbox":{"x0":71,"y0":70,"x1":204,"y1":98}},{"id":"p1:w2:214,70,334,98","text":"Supplier","confidence":96,"bbox":{"x0":214,"y0":70,"x1":334,"y1":98}},{"id":"p1:w3:343,70,486,92","text":"Statement","confidence":96,"bbox":{"x0":343,"y0":70,"x1":486,"y1":92}},{"id":"p1:w4:1121,92,1169,110","text":"SAR","confidence":96,"bbox":{"x0":1121,"y0":92,"x1":1169,"y1":110}},{"id":"p1:w5:166,174,274,206","text":"Reference","confidence":96,"bbox":{"x0":166,"y0":174,"x1":274,"y1":206}},{"id":"p1:w6:486,174,534,206","text":"Date","confidence":96,"bbox":{"x0":486,"y0":174,"x1":534,"y1":206}},{"id":"p1:w7:734,174,78</t>
  </si>
  <si>
    <t>8,206","text":"Debit","confidence":96,"bbox":{"x0":734,"y0":174,"x1":788,"y1":206}},{"id":"p1:w8:949,174,1012,206","text":"Credit","confidence":96,"bbox":{"x0":949,"y0":174,"x1":1012,"y1":206}},{"id":"p1:w9:1168,179,1252,196","text":"Balance","confidence":96,"bbox":{"x0":1168,"y0":179,"x1":1252,"y1":196}},{"id":"p1:w10:179,250,262,268","text":"INV-100","confidence":91,"bbox":{"x0":179,"y0":250,"x1":262,"y1":268}},{"id":"p1:w11:449,250,567,268","text":"2026-07-01","confidence":96,"bbox":{"x0":449,"y0":250,"x1":567,"y1":268}},{"id":"p1:w12:719,250,802,268","text":"1000.00","confidence":96,"bbox":{"x0":719,"y0":250,"x1":802,"y1":268}},{"id":"p1:w13:958,250,1002,268","text":"0.00","confidence":96,"bbox":{"x0":958,"y0":250,"x1":1002,"y1":268}},{"id":"p1:w14:1169,250,1252,268","text":"1000.00","confidence":96,"bbox":{"x0":1169,"y0":250,"x1":1252,"y1":268}},{"id":"p1:w15:176,330,264,348","text":"PAY-200","confidence":91,"bbox":{"x0":176,"y0":330,"x1":264,"y1":348}},{"id":"p1:w16:449,330,570,348","text":"2026-07-02","confidence":96,"bbox":{"x0":449,"y0":330,"x1":570,"y1":348}},{"id":"p1:w17:738,330,782,348","text":"0.00","confidence":96,"bbox":{"x0":738,"y0":330,"x1":782,"y1":348}},{"id":"p1:w18:944,330,1016,348","text":"250.00","confidence":96,"bbox":{"x0":944,"y0":330,"x1":1016,"y1":348}},{"id":"p1:w19:1174,330,1246,348","text":"750.00","confidence":96,"bbox":{"x0":1174,"y0":330,"x1":1246,"y1":348}},{"id":"p1:w20:180,410,260,428","text":"CN-300","confidence":92,"bbox":{"x0":180,"y0":410,"x1":260,"y1":428}},{"id":"p1:w21:449,410,570,428","text":"2026-07-03","confidence":96,"bbox":{"x0":449,"y0":410,"x1":570,"y1":428}},{"id":"p1:w22:738,410,782,428","text":"0.00","confidence":96,"bbox":{"x0":738,"y0":410,"x1":782,"y1":428}},{"id":"p1:w23:946,410,1016,428","text":"125.00","confidence":96,"bbox":{"x0":946,"y0":410,"x1":1016,"y1":428}},{"id":"p1:w24:1174,410,1246,428","text":"625.00","confidence":96,"bbox":{"x0":1174,"y0":410,"x1":1246,"y1":428}},{"id":"p1:w25:164,485,276,518","text":"BOTH-400","confidence":92,"bbox":{"x0":164,"y0":485,"x1":276,"y1":518}},{"id":"p1:w26:449,490,570,508","text":"2026-07-04","confidence":96,"bbox":{"x0":449,"y0":490,"x1":570,"y1":508}},{"id":"p1:w27:726,490,796,508","text":"120.00","confidence":96,"bbox":{"x0":726,"y0":490,"x1":796,"y1":508}},{"id":"p1:w28:950,490,1009,508","text":"40.00","confidence":96,"bbox":{"x0":950,"y0":490,"x1":1009,"y1":508}},{"id":"p1:w29:1174,490,1246,508","text":"705.00","confidence":96,"bbox":{"x0":1174,"y0":490,"x1":1246,"y1":508}},{"id":"p1:w30:172,570,269,588","text":"NEG-500","confidence":91,"bbox":{"x0":172,"y0":570,"x1":269,"y1":588}},{"id":"p1:w31:449,570,570,588","text":"2026-07-05","confidence":96,"bbox":{"x0":449,"y0":570,"x1":570,"y1":588}},{"id":"p1:w32:727,570,793,588","text":"-90.00","confidence":91,"bbox":{"x0":727,"y0":570,"x1":793,"y1":588}},{"id":"p1:w33:958,570,1002,588","text":"0.00","confidence":96,"bbox":{"x0":958,"y0":570,"x1":1002,"y1":588}},{"id":"p1:w34:1174,570,1246,588",</t>
  </si>
  <si>
    <t>"text":"615.00","confidence":96,"bbox":{"x0":1174,"y0":570,"x1":1246,"y1":588}},{"id":"p1:w35:168,650,272,668","text":"MISS-600","confidence":91,"bbox":{"x0":168,"y0":650,"x1":272,"y1":668}},{"id":"p1:w36:449,650,570,668","text":"2026-07-06","confidence":96,"bbox":{"x0":449,"y0":650,"x1":570,"y1":668}},{"id":"p1:w37:738,650,782,668","text":"0.00","confidence":96,"bbox":{"x0":738,"y0":650,"x1":782,"y1":668}},{"id":"p1:w38:1174,650,1246,668","text":"565.00","confidence":96,"bbox":{"x0":1174,"y0":650,"x1":1246,"y1":668}},{"id":"p1:w39:195,725,244,758","text":"Total","confidence":96,"bbox":{"x0":195,"y0":725,"x1":244,"y1":758}},{"id":"p1:w40:719,730,802,748","text":"1030.00","confidence":96,"bbox":{"x0":719,"y0":730,"x1":802,"y1":748}},{"id":"p1:w41:943,730,1016,748","text":"415.00","confidence":96,"bbox":{"x0":943,"y0":730,"x1":1016,"y1":748}},{"id":"p1:w42:1174,730,1246,748","text":"565.00","confidence":96,"bbox":{"x0":1174,"y0":730,"x1":1246,"y1":748}}]}]},"pixelSha256":"f35fb271bff21ee98b7d73a32b4f72dc9bbacb9fd43abe51dd3c551a6ee2414f","revision":"934148014aa96aec8f064696277dcb949f2974f1826a0217528a656c79472972","cells":[],"regions":[{"id":"region:1","origin":"manual-crop","role":"reference","value":"Reference","observed":[{"wordId":"p1:w5:166,174,274,206","text":"Reference","complete":true}],"region":{"x0":78,"x1":362,"y0":165,"y1":210},"review":{"revision":"934148014aa96aec8f064696277dcb949f2974f1826a0217528a656c79472972","fingerprint":"828c590d72a0a9a601330a9f6ffa570160d5de119b48a4228ceabb15827a36d2","checkedAt":"2026-10-04T10:00:00.000Z"}},{"id":"region:2","origin":"manual-crop","role":"reference","value":"Date","observed":[{"wordId":"p1:w6:486,174,534,206","text":"Date","complete":true}],"region":{"x0":378,"x1":642,"y0":165,"y1":210},"review":{"revision":"934148014aa96aec8f064696277dcb949f2974f1826a0217528a656c79472972","fingerprint":"f26feba2be41a8298a7bb4b246c2ddaae1802642a42e3996971ad8870af5a4fc","checkedAt":"2026-10-04T10:00:00.000Z"}},{"id":"region:3","origin":"manual-crop","role":"reference","value":"Debit","observed":[{"wordId":"p1:w7:734,174,788,206","text":"Debit","complete":true}],"region":{"x0":658,"x1":862,"y0":165,"y1":210},"review":{"revision":"934148014aa96aec8f064696277dcb949f2974f1826a0217528a656c79472972","fingerprint":"9563fe44b366106b6e192e2ae0c30210f4dfa9081276ca069eab6a2570246be3","checkedAt":"2026-10-04T10:00:00.000Z"}},{"id":"region:4","origin":"manual-crop","role":"reference","value":"Credit","observed":[{"wordId":"p1:w8:949,174,1012,206","text":"Credit","complete":true}],"region":{"x0":878,"x1":1082,"y0":165,"y1":210},"review":{"revision":"934148014aa96aec8f064696277dcb949f2974f1826a0217528a656c79472972","fingerprint":"1abd4ed23f945f80a10e307f0f5f7f9b48dcf5c29541cfc91ac1f1669966d98d","checkedAt":"2026-10-04T10:00:00.000Z"}},{"id":"region:5","origin":"manual-crop","role":"reference","value":"Balance","observed":[{"wordId":"p1:w9:1168,179,1252,196","text":"Balance","complete":true}],"region":{"x0":1098,"x1":1322,"y0":1</t>
  </si>
  <si>
    <t>65,"y1":210},"review":{"revision":"934148014aa96aec8f064696277dcb949f2974f1826a0217528a656c79472972","fingerprint":"71af49c7f3c62cd302172cf55254cecc07d03ba8e3eed38447bbf3a81def9baa","checkedAt":"2026-10-04T10:00:00.000Z"}},{"id":"region:6","origin":"manual-crop","role":"currency","value":"SAR","observed":[{"wordId":"p1:w4:1121,92,1169,110","text":"SAR","complete":true}],"region":{"x0":1110,"y0":80,"x1":1200,"y1":120},"review":{"revision":"934148014aa96aec8f064696277dcb949f2974f1826a0217528a656c79472972","fingerprint":"2b57c8362a0045539d12b1fdb54998a6a6004819ae9368ee6c7f6e20d7e78ee5","checkedAt":"2026-10-04T10:00:00.000Z"}},{"id":"region:7","origin":"manual-crop","role":"reference","value":"INV-100","observed":[{"wordId":"p1:w10:179,250,262,268","text":"INV-100","complete":true}],"region":{"x0":78,"x1":362,"y0":228,"y1":292},"review":{"revision":"934148014aa96aec8f064696277dcb949f2974f1826a0217528a656c79472972","fingerprint":"1008d22d162b172c719804291068c171147b8a88b84a2e08dfdd1fe3fe502592","checkedAt":"2026-10-04T10:00:00.000Z"}},{"id":"region:8","origin":"manual-crop","role":"date","value":"2026-07-01","observed":[{"wordId":"p1:w11:449,250,567,268","text":"2026-07-01","complete":true}],"region":{"x0":378,"x1":642,"y0":228,"y1":292},"review":{"revision":"934148014aa96aec8f064696277dcb949f2974f1826a0217528a656c79472972","fingerprint":"4b229512be17f31c1e1cc9242bae792d1097729c8ed839526b538188b15b1637","checkedAt":"2026-10-04T10:00:00.000Z"}},{"id":"region:9","origin":"manual-crop","role":"amount","value":"1000.00","observed":[{"wordId":"p1:w12:719,250,802,268","text":"1000.00","complete":true}],"region":{"x0":658,"x1":862,"y0":228,"y1":292},"review":{"revision":"934148014aa96aec8f064696277dcb949f2974f1826a0217528a656c79472972","fingerprint":"8304bc7c260e8a66330d40326152a220985e054995f4d559fc7879cf875705c3","checkedAt":"2026-10-04T10:00:00.000Z"}},{"id":"region:10","origin":"manual-crop","role":"amount","value":"0.00","observed":[{"wordId":"p1:w13:958,250,1002,268","text":"0.00","complete":true}],"region":{"x0":878,"x1":1082,"y0":228,"y1":292},"review":{"revision":"934148014aa96aec8f064696277dcb949f2974f1826a0217528a656c79472972","fingerprint":"b75f1e753ce84e533ceedf59d01d1bf949fe45826012c17aedadd4a48e733284","checkedAt":"2026-10-04T10:00:00.000Z"}},{"id":"region:11","origin":"manual-crop","role":"amount","value":"1000.00","observed":[{"wordId":"p1:w14:1169,250,1252,268","text":"1000.00","complete":true}],"region":{"x0":1098,"x1":1322,"y0":228,"y1":292},"review":{"revision":"934148014aa96aec8f064696277dcb949f2974f1826a0217528a656c79472972","fingerprint":"b253cf579d65abd77be56a1c61f9869986ad59471545a6ad6b4dbd65d9c5cded","checkedAt":"2026-10-04T10:00:00.000Z"}},{"id":"region:12","origin":"manual-crop","role":"reference","value":"PAY-200","observed":[{"wordId":"p1:w15:176,330,264,348","text":"PAY-200","complete":true}],"region":{"x0":78,"x1":362,"y0":308,"y1":372},"review":{"revision":"934148014aa96aec8f064696277dcb949f2974f1826a0217528a656c79472972","f</t>
  </si>
  <si>
    <t>ingerprint":"aad883c45a1a06c2548413bbd283b0760b2a9ead47702eb1f4b665e1a30d42e4","checkedAt":"2026-10-04T10:00:00.000Z"}},{"id":"region:13","origin":"manual-crop","role":"date","value":"2026-07-02","observed":[{"wordId":"p1:w16:449,330,570,348","text":"2026-07-02","complete":true}],"region":{"x0":378,"x1":642,"y0":308,"y1":372},"review":{"revision":"934148014aa96aec8f064696277dcb949f2974f1826a0217528a656c79472972","fingerprint":"d3c5cd08f40c408bfaf978459864f422f9034029142c42939b5023aeaeb48ad6","checkedAt":"2026-10-04T10:00:00.000Z"}},{"id":"region:14","origin":"manual-crop","role":"amount","value":"0.00","observed":[{"wordId":"p1:w17:738,330,782,348","text":"0.00","complete":true}],"region":{"x0":658,"x1":862,"y0":308,"y1":372},"review":{"revision":"934148014aa96aec8f064696277dcb949f2974f1826a0217528a656c79472972","fingerprint":"0040ad41a36f9fdf28beb1629f2c43a29d799eb7b4599e7eb85f3412f2cf9edf","checkedAt":"2026-10-04T10:00:00.000Z"}},{"id":"region:15","origin":"manual-crop","role":"amount","value":"250.00","observed":[{"wordId":"p1:w18:944,330,1016,348","text":"250.00","complete":true}],"region":{"x0":878,"x1":1082,"y0":308,"y1":372},"review":{"revision":"934148014aa96aec8f064696277dcb949f2974f1826a0217528a656c79472972","fingerprint":"f1b966867f965738f6157c29067fa12de7bd3d90b18c5cc89cdd5dab7ce6421b","checkedAt":"2026-10-04T10:00:00.000Z"}},{"id":"region:16","origin":"manual-crop","role":"amount","value":"750.00","observed":[{"wordId":"p1:w19:1174,330,1246,348","text":"750.00","complete":true}],"region":{"x0":1098,"x1":1322,"y0":308,"y1":372},"review":{"revision":"934148014aa96aec8f064696277dcb949f2974f1826a0217528a656c79472972","fingerprint":"3e7799e11954b2e3e7a392f734e970b6c91745fcc3ebc66d39eaf0fdf10abf38","checkedAt":"2026-10-04T10:00:00.000Z"}},{"id":"region:17","origin":"manual-crop","role":"reference","value":"CN-300","observed":[{"wordId":"p1:w20:180,410,260,428","text":"CN-300","complete":true}],"region":{"x0":78,"x1":362,"y0":388,"y1":452},"review":{"revision":"934148014aa96aec8f064696277dcb949f2974f1826a0217528a656c79472972","fingerprint":"be269857bd59c12ad34aa6303d32bca58fbc8a8bc69551a4495170366777f8a1","checkedAt":"2026-10-04T10:00:00.000Z"}},{"id":"region:18","origin":"manual-crop","role":"date","value":"2026-07-03","observed":[{"wordId":"p1:w21:449,410,570,428","text":"2026-07-03","complete":true}],"region":{"x0":378,"x1":642,"y0":388,"y1":452},"review":{"revision":"934148014aa96aec8f064696277dcb949f2974f1826a0217528a656c79472972","fingerprint":"c06410988e61ed26716cc21a358e8f174e85e4ea66e78d97a4376a3bcfbb3a0b","checkedAt":"2026-10-04T10:00:00.000Z"}},{"id":"region:19","origin":"manual-crop","role":"amount","value":"0.00","observed":[{"wordId":"p1:w22:738,410,782,428","text":"0.00","complete":true}],"region":{"x0":658,"x1":862,"y0":388,"y1":452},"review":{"revision":"934148014aa96aec8f064696277dcb949f2974f1826a0217528a656c79472972","fingerprint":"e8cb58aa9462ce724f8fb20983299d8fc0b8d422025a59e567a7cf47154a9a77","checkedAt":"2026-10-04T1</t>
  </si>
  <si>
    <t>0:00:00.000Z"}},{"id":"region:20","origin":"manual-crop","role":"amount","value":"125.00","observed":[{"wordId":"p1:w23:946,410,1016,428","text":"125.00","complete":true}],"region":{"x0":878,"x1":1082,"y0":388,"y1":452},"review":{"revision":"934148014aa96aec8f064696277dcb949f2974f1826a0217528a656c79472972","fingerprint":"6b58ac49c2e43ce1d64174d86746e5475d6280810ee25dad8583c03cdd260f97","checkedAt":"2026-10-04T10:00:00.000Z"}},{"id":"region:21","origin":"manual-crop","role":"amount","value":"625.00","observed":[{"wordId":"p1:w24:1174,410,1246,428","text":"625.00","complete":true}],"region":{"x0":1098,"x1":1322,"y0":388,"y1":452},"review":{"revision":"934148014aa96aec8f064696277dcb949f2974f1826a0217528a656c79472972","fingerprint":"e22a4b413fa1951ab292c82abceeac1880dfd27ec6be1ff432658d07193010e7","checkedAt":"2026-10-04T10:00:00.000Z"}},{"id":"region:22","origin":"manual-crop","role":"reference","value":"BOTH-400","observed":[{"wordId":"p1:w25:164,485,276,518","text":"BOTH-400","complete":true}],"region":{"x0":78,"x1":362,"y0":468,"y1":532},"review":{"revision":"934148014aa96aec8f064696277dcb949f2974f1826a0217528a656c79472972","fingerprint":"f46237b8437f1604057cb31238ebe7c35f45675b9dd5898d2add92ec3c9e5a3b","checkedAt":"2026-10-04T10:00:00.000Z"}},{"id":"region:23","origin":"manual-crop","role":"date","value":"2026-07-04","observed":[{"wordId":"p1:w26:449,490,570,508","text":"2026-07-04","complete":true}],"region":{"x0":378,"x1":642,"y0":468,"y1":532},"review":{"revision":"934148014aa96aec8f064696277dcb949f2974f1826a0217528a656c79472972","fingerprint":"80606255cfb5857d229fad8d44dbea8b7c46454b498aa11364c1c6a3a9a8aa91","checkedAt":"2026-10-04T10:00:00.000Z"}},{"id":"region:24","origin":"manual-crop","role":"amount","value":"120.00","observed":[{"wordId":"p1:w27:726,490,796,508","text":"120.00","complete":true}],"region":{"x0":658,"x1":862,"y0":468,"y1":532},"review":{"revision":"934148014aa96aec8f064696277dcb949f2974f1826a0217528a656c79472972","fingerprint":"599229d4fa34ff435adda4df716a626e5fceedc6145ffddda435f72f3dab8057","checkedAt":"2026-10-04T10:00:00.000Z"}},{"id":"region:25","origin":"manual-crop","role":"amount","value":"40.00","observed":[{"wordId":"p1:w28:950,490,1009,508","text":"40.00","complete":true}],"region":{"x0":878,"x1":1082,"y0":468,"y1":532},"review":{"revision":"934148014aa96aec8f064696277dcb949f2974f1826a0217528a656c79472972","fingerprint":"f4e60462f1a31221020bb3add5c5ed93066e8d0a4e6675af523e0989b69f0f66","checkedAt":"2026-10-04T10:00:00.000Z"}},{"id":"region:26","origin":"manual-crop","role":"amount","value":"705.00","observed":[{"wordId":"p1:w29:1174,490,1246,508","text":"705.00","complete":true}],"region":{"x0":1098,"x1":1322,"y0":468,"y1":532},"review":{"revision":"934148014aa96aec8f064696277dcb949f2974f1826a0217528a656c79472972","fingerprint":"a5adfb50b78f0d927abd9f02ea54adef36db9fc8d4aa625750bd5db54ecc817c","checkedAt":"2026-10-04T10:00:00.000Z"}},{"id":"region:27","origin":"manual-crop","role":"reference","value":"NEG-500",</t>
  </si>
  <si>
    <t>"observed":[{"wordId":"p1:w30:172,570,269,588","text":"NEG-500","complete":true}],"region":{"x0":78,"x1":362,"y0":548,"y1":612},"review":{"revision":"934148014aa96aec8f064696277dcb949f2974f1826a0217528a656c79472972","fingerprint":"df307ae1f26c78140d043ee16ed6d74bb58d79459558570b08d52cdb04f8324a","checkedAt":"2026-10-04T10:00:00.000Z"}},{"id":"region:28","origin":"manual-crop","role":"date","value":"2026-07-05","observed":[{"wordId":"p1:w31:449,570,570,588","text":"2026-07-05","complete":true}],"region":{"x0":378,"x1":642,"y0":548,"y1":612},"review":{"revision":"934148014aa96aec8f064696277dcb949f2974f1826a0217528a656c79472972","fingerprint":"3c7620142c0ace313e9e1dc65dca7bca1d4a0db13f744a0e3e4c452ac03be393","checkedAt":"2026-10-04T10:00:00.000Z"}},{"id":"region:29","origin":"manual-crop","role":"amount","value":"-90.00","observed":[{"wordId":"p1:w32:727,570,793,588","text":"-90.00","complete":true}],"region":{"x0":658,"x1":862,"y0":548,"y1":612},"review":{"revision":"934148014aa96aec8f064696277dcb949f2974f1826a0217528a656c79472972","fingerprint":"3ccb42902fb9e32db088072463315ab2a8dc6af82f84bbae348fa14a2b58e3db","checkedAt":"2026-10-04T10:00:00.000Z"}},{"id":"region:30","origin":"manual-crop","role":"amount","value":"0.00","observed":[{"wordId":"p1:w33:958,570,1002,588","text":"0.00","complete":true}],"region":{"x0":878,"x1":1082,"y0":548,"y1":612},"review":{"revision":"934148014aa96aec8f064696277dcb949f2974f1826a0217528a656c79472972","fingerprint":"7e221e0bf59d70fa24cf24ef05a9c33b9338c78ad3cca4bdaba26ae77be96bcd","checkedAt":"2026-10-04T10:00:00.000Z"}},{"id":"region:31","origin":"manual-crop","role":"amount","value":"615.00","observed":[{"wordId":"p1:w34:1174,570,1246,588","text":"615.00","complete":true}],"region":{"x0":1098,"x1":1322,"y0":548,"y1":612},"review":{"revision":"934148014aa96aec8f064696277dcb949f2974f1826a0217528a656c79472972","fingerprint":"d7d5e6df6a7f2ffcbc29ddbb8a60a3809fa1dc40d02b44deb36720ed98082ce7","checkedAt":"2026-10-04T10:00:00.000Z"}},{"id":"region:32","origin":"manual-crop","role":"reference","value":"MISS-600","observed":[{"wordId":"p1:w35:168,650,272,668","text":"MISS-600","complete":true}],"region":{"x0":78,"x1":362,"y0":628,"y1":692},"review":{"revision":"934148014aa96aec8f064696277dcb949f2974f1826a0217528a656c79472972","fingerprint":"5fc0f78f049a3492ed4a2e54b0530b0a15c954fac96ee92839d4015640f098f3","checkedAt":"2026-10-04T10:00:00.000Z"}},{"id":"region:33","origin":"manual-crop","role":"date","value":"2026-07-06","observed":[{"wordId":"p1:w36:449,650,570,668","text":"2026-07-06","complete":true}],"region":{"x0":378,"x1":642,"y0":628,"y1":692},"review":{"revision":"934148014aa96aec8f064696277dcb949f2974f1826a0217528a656c79472972","fingerprint":"f2d7d18d3a19144dbccc7b8e5194015f11b06b70681bd3f8808e6d8b98b8cc6e","checkedAt":"2026-10-04T10:00:00.000Z"}},{"id":"region:34","origin":"manual-crop","role":"amount","value":"0.00","observed":[{"wordId":"p1:w37:738,650,782,668","text":"0.00","complete":true}],"region":{"x0":658,</t>
  </si>
  <si>
    <t>"x1":862,"y0":628,"y1":692},"review":{"revision":"934148014aa96aec8f064696277dcb949f2974f1826a0217528a656c79472972","fingerprint":"c349f79fe7a6f1741e05d76821ffe0d4fea0a2df205e703660bf739ddb8e6d29","checkedAt":"2026-10-04T10:00:00.000Z"}},{"id":"region:35","origin":"manual-crop","role":"amount","value":"565.00","observed":[{"wordId":"p1:w38:1174,650,1246,668","text":"565.00","complete":true}],"region":{"x0":1098,"x1":1322,"y0":628,"y1":692},"review":{"revision":"934148014aa96aec8f064696277dcb949f2974f1826a0217528a656c79472972","fingerprint":"bed15986ec31890941ee9d88c267b22c48abfa7a219155e6cc687674532aff1e","checkedAt":"2026-10-04T10:00:00.000Z"}},{"id":"region:36","origin":"manual-crop","role":"reference","value":"Total","observed":[{"wordId":"p1:w39:195,725,244,758","text":"Total","complete":true}],"region":{"x0":78,"x1":362,"y0":708,"y1":772},"review":{"revision":"934148014aa96aec8f064696277dcb949f2974f1826a0217528a656c79472972","fingerprint":"24ac20c7ca2f22632f9f7540da71cc3c8049f7b1904efcdaeb3e75989bdf1819","checkedAt":"2026-10-04T10:00:00.000Z"}},{"id":"region:37","origin":"manual-crop","role":"amount","value":"1030.00","observed":[{"wordId":"p1:w40:719,730,802,748","text":"1030.00","complete":true}],"region":{"x0":658,"x1":862,"y0":708,"y1":772},"review":{"revision":"934148014aa96aec8f064696277dcb949f2974f1826a0217528a656c79472972","fingerprint":"0f63f41c4a81e33a78be328b094bcbb3e00cf0627de313ffc7d55341232013aa","checkedAt":"2026-10-04T10:00:00.000Z"}},{"id":"region:38","origin":"manual-crop","role":"amount","value":"415.00","observed":[{"wordId":"p1:w41:943,730,1016,748","text":"415.00","complete":true}],"region":{"x0":878,"x1":1082,"y0":708,"y1":772},"review":{"revision":"934148014aa96aec8f064696277dcb949f2974f1826a0217528a656c79472972","fingerprint":"4ccba175e3c48c1d5e68a003f244c3f616247d24dc637f04dfca94cee10fd663","checkedAt":"2026-10-04T10:00:00.000Z"}},{"id":"region:39","origin":"manual-crop","role":"amount","value":"565.00","observed":[{"wordId":"p1:w42:1174,730,1246,748","text":"565.00","complete":true}],"region":{"x0":1098,"x1":1322,"y0":708,"y1":772},"review":{"revision":"934148014aa96aec8f064696277dcb949f2974f1826a0217528a656c79472972","fingerprint":"caf7778cf9ec1ff789aeee8d560895ec9227e0023eccdfcd3a88ea37ada3a8f4","checkedAt":"2026-10-04T10:00:00.000Z"}}]},"revision":"d0915686de1e502b2968e08a778ad9cb9cb0a586e5f17d5b2d10858af393dfbf","grid":{"region":{"x0":70,"y0":220,"x1":1330,"y1":780},"rowCuts":[220,300,380,460,540,620,700,780],"columnCuts":[70,370,650,870,1090,1330],"roles":["reference","date","debit","credit","balance"]},"rows":[{"id":"row:1","disposition":"movement","note":"","cells":["region:7","region:8","region:9","region:10","region:11"],"review":null},{"id":"row:2","disposition":"movement","note":"","cells":["region:12","region:13","region:14","region:15","region:16"],"review":null},{"id":"row:3","disposition":"movement","note":"","cells":["region:17","region:18","region:19","region:20","region:21"],"review":null},{"id":"</t>
  </si>
  <si>
    <t>row:4","disposition":"movement","note":"","cells":["region:22","region:23","region:24","region:25","region:26"],"review":null},{"id":"row:5","disposition":"movement","note":"","cells":["region:27","region:28","region:29","region:30","region:31"],"review":null},{"id":"row:6","disposition":"movement","note":"","cells":["region:32","region:33","region:34",null,"region:35"],"review":null},{"id":"row:7","disposition":"non-movement","note":"Printed total row, retained for audit","cells":["region:36",null,"region:37","region:38","region:39"],"review":{"fingerprint":"7c9dd80c73170b5b72ab560942f61bab62649b86305cce7aa488f560bb68f88f","checkedAt":"2026-10-04T10:00:00.000Z"}}],"coverage":{"fingerprint":"228424f38062594bd96fa3af931470b61f5e4bfc9cd4ec74ab32819d748840e9","checkedAt":"2026-10-04T10:00:00.000Z"}},"headers":["region:1","region:2","region:3","region:4","region:5"],"currencyProof":"region:6","context":{"side":"supplier","supplier":"Synthetic Split Supplier","entity":"Synthetic Entity","account":"","currency":"SAR","decimals":2,"periodStart":"2026-07-01","cutoff":"2026-07-31","multiplier":1,"numberFormat":"dot","dateFormat":"ymd"},"review":{"fingerprint":"191b14e3f70c0dc09074100f36b039e19edf07ed9a733960cad7b8cf9e897459","checkedAt":"2026-10-05T21:17:00.068Z"}}</t>
  </si>
  <si>
    <t>Original PNG; human-reviewed transactions only</t>
  </si>
  <si>
    <t>الرمز</t>
  </si>
  <si>
    <t>التفسير</t>
  </si>
  <si>
    <t>حركات المصدر</t>
  </si>
  <si>
    <t>SKIPPED_ROWS</t>
  </si>
  <si>
    <t>المورد: توجد 3 مشكلة قراءة محفوظة للمراجعة. المصالحة الكاملة للأرصدة غير متحققة. يمكن اعتماد الحركات المثبتة خارج المراجع المتأثرة فقط؛ بقيت الحركات المتأثرة للمراجعة.</t>
  </si>
  <si>
    <t>ledger:0:5 | ledger:0:6 | ledger:0:7</t>
  </si>
  <si>
    <t>SOURCE_WARNING</t>
  </si>
  <si>
    <t>المورد: القيم من صورة مراجعة يدويًا وتخص مقارنة الحركات فقط. لم تُثبت تسوية الأرصدة أو اكتمال الفترة.</t>
  </si>
  <si>
    <t/>
  </si>
  <si>
    <t>المورد: لم يُستخرج رصيد كافٍ لاختبار المعادلة.</t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</si>
  <si>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</si>
  <si>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</si>
  <si>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</si>
  <si>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</si>
  <si>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</si>
  <si>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supplier:0:3 | ledger:0:3</t>
  </si>
  <si>
    <t>supplier:0:4 | ledger:0:4</t>
  </si>
  <si>
    <t>NO_SUPPLIER_COUNTERPART</t>
  </si>
  <si>
    <t>لم يُعثر في الملفات المقدمة على حركة مورد تصلح مقابلًا لهذه الحركة.</t>
  </si>
  <si>
    <t>ledger:0:5</t>
  </si>
  <si>
    <t>ledger:0:6</t>
  </si>
  <si>
    <t>ledger:0:7</t>
  </si>
  <si>
    <t>SOURCE_ROW_READING_ERROR</t>
  </si>
  <si>
    <t>supplier | en-split.tarasuf-reviewed.json | Reviewed image | row 5 | يحتوي الصف نفسه مبلغًا غير صفري في كل من المدين والدائن</t>
  </si>
  <si>
    <t>supplier | en-split.tarasuf-reviewed.json | Reviewed image | row 6 | توجد قيمة سالبة في عمود المدين أو الدائن. يلزم مصدر يوضح إشارات المبالغ.</t>
  </si>
  <si>
    <t>supplier | en-split.tarasuf-reviewed.json | Reviewed image | row 7 | تعذرت قراءة قيمة من الصورة أو خالفت الصيغة المحددة (credit)</t>
  </si>
  <si>
    <t>Source File</t>
  </si>
  <si>
    <t>Source Sheet</t>
  </si>
  <si>
    <t>PDF Page</t>
  </si>
  <si>
    <t>Source Row</t>
  </si>
  <si>
    <t>Issue Scope</t>
  </si>
  <si>
    <t>Original Values</t>
  </si>
  <si>
    <t>en-split.tarasuf-reviewed.json</t>
  </si>
  <si>
    <t>Reviewed image</t>
  </si>
  <si>
    <t>Row</t>
  </si>
  <si>
    <t>يحتوي الصف نفسه مبلغًا غير صفري في كل من المدين والدائن</t>
  </si>
  <si>
    <t>["BOTH-400","2026-07-04","120.00","40.00","705.00"]</t>
  </si>
  <si>
    <t>توجد قيمة سالبة في عمود المدين أو الدائن. يلزم مصدر يوضح إشارات المبالغ.</t>
  </si>
  <si>
    <t>["NEG-500","2026-07-05","-90.00","0.00","615.00"]</t>
  </si>
  <si>
    <t>تعذرت قراءة قيمة من الصورة أو خالفت الصيغة المحددة (credit)</t>
  </si>
  <si>
    <t>["MISS-600","2026-07-06","0.00","","565.00"]</t>
  </si>
  <si>
    <t>Source Row ID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</si>
  <si>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</si>
  <si>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</si>
  <si>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</si>
  <si>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</si>
  <si>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</si>
  <si>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</si>
  <si>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</si>
  <si>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</si>
  <si>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</si>
  <si>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</si>
  <si>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</si>
  <si>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</si>
  <si>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</si>
  <si>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</si>
  <si>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</si>
  <si>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</si>
  <si>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supplier:0:2</t>
  </si>
  <si>
    <t>document-reference</t>
  </si>
  <si>
    <t>ledger:0:2</t>
  </si>
  <si>
    <t>supplier:0:3</t>
  </si>
  <si>
    <t>ledger:0:3</t>
  </si>
  <si>
    <t>supplier:0:4</t>
  </si>
  <si>
    <t>ledger:0:4</t>
  </si>
  <si>
    <t>NO_VIABLE_SUPPLIER_COUNTERPART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</si>
  <si>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</si>
  <si>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</si>
  <si>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</si>
  <si>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</si>
  <si>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</si>
  <si>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</si>
  <si>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</si>
  <si>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</si>
  <si>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</si>
  <si>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</si>
  <si>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</si>
  <si>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</si>
  <si>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</si>
  <si>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</si>
  <si>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</si>
  <si>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INV100</t>
  </si>
  <si>
    <t>1000.00 | 0.00</t>
  </si>
  <si>
    <t>PAY200</t>
  </si>
  <si>
    <t>0.00 | 250.00</t>
  </si>
  <si>
    <t>CN300</t>
  </si>
  <si>
    <t>0.00 | 125.00</t>
  </si>
  <si>
    <t>1000.00</t>
  </si>
  <si>
    <t>-250.00</t>
  </si>
  <si>
    <t>-125.00</t>
  </si>
  <si>
    <t>BOTH400</t>
  </si>
  <si>
    <t>80.00</t>
  </si>
  <si>
    <t>NEG500</t>
  </si>
  <si>
    <t>-90.00</t>
  </si>
  <si>
    <t>MISS600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</si>
  <si>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</si>
  <si>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</si>
  <si>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</si>
  <si>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</si>
  <si>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</si>
  <si>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</si>
  <si>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["Reference","Date","Debit","Credit","Balance"]</t>
  </si>
  <si>
    <t>Printed total row, retained for audit</t>
  </si>
  <si>
    <t>["Total","","1030.00","415.00","565.00"]</t>
  </si>
  <si>
    <t>الدفتر</t>
  </si>
  <si>
    <t>["Reference","Date","Amount","Currency"]</t>
  </si>
  <si>
    <t>الحقل</t>
  </si>
  <si>
    <t>القيمة</t>
  </si>
  <si>
    <t>Scope</t>
  </si>
  <si>
    <t>{"supplier":"Synthetic Split Supplier","entity":"Synthetic Entity","account":"","currency":"SAR","decimals":2,"cutoff":"2026-07-31","dateWindow":2,"confirmed":true,"coverageConfirmed":false}</t>
  </si>
  <si>
    <t>Supplier mapping</t>
  </si>
  <si>
    <t>{"sheet":0,"header":0,"date":1,"reference":0,"description":-1,"amount":-1,"debit":2,"credit":3,"currencyColumn":-1,"mode":"split","multiplier":1,"numberFormat":"dot","dateFormat":"ymd","reportType":"transactions","opening":"","closing":"","periodStart":"2026-07-01","excluded":{},"pdfReviewed":false}</t>
  </si>
  <si>
    <t>Ledger mapping</t>
  </si>
  <si>
    <t>{"sheet":0,"header":0,"date":1,"reference":0,"description":-1,"amount":2,"debit":-1,"credit":-1,"currencyColumn":3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</si>
  <si>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</si>
  <si>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</si>
  <si>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</si>
  <si>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</si>
  <si>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</si>
  <si>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</si>
  <si>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{"openingBalance":null,"closingBalance":null,"periodStart":"","periodEnd":"","supplierStatementAccount":"","supplierCode":"","apControlAccount":"","supplierName":"","entityName":"","currency":"SAR","balanceRowReference":{},"evidence":[{"field":"currency","value":"SAR","sheet":"CSV","row":2,"column":4,"originalValue":"SAR","method":"literal"}],"warnings":[]}</t>
  </si>
  <si>
    <t>Rejected pairs</t>
  </si>
  <si>
    <t>[]</t>
  </si>
  <si>
    <t>Ambiguous source rows</t>
  </si>
  <si>
    <t>Candidate links (not approvals)</t>
  </si>
  <si>
    <t>{}</t>
  </si>
  <si>
    <t>Supplier filename</t>
  </si>
  <si>
    <t>Ledger filename</t>
  </si>
  <si>
    <t>ledger.csv</t>
  </si>
  <si>
    <t>تحذيرات المورد</t>
  </si>
  <si>
    <t>القيم من صورة مراجعة يدويًا وتخص مقارنة الحركات فقط. لم تُثبت تسوية الأرصدة أو اكتمال الفترة.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</si>
  <si>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</si>
  <si>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</si>
  <si>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</si>
  <si>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</si>
  <si>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</si>
  <si>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</si>
  <si>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</si>
  <si>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</si>
  <si>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Debit</t>
  </si>
  <si>
    <t>Credit</t>
  </si>
  <si>
    <t>Balance</t>
  </si>
  <si>
    <t>2026-07-01</t>
  </si>
  <si>
    <t>0.00</t>
  </si>
  <si>
    <t>2026-07-02</t>
  </si>
  <si>
    <t>250.00</t>
  </si>
  <si>
    <t>750.00</t>
  </si>
  <si>
    <t>2026-07-03</t>
  </si>
  <si>
    <t>125.00</t>
  </si>
  <si>
    <t>625.00</t>
  </si>
  <si>
    <t>2026-07-04</t>
  </si>
  <si>
    <t>120.00</t>
  </si>
  <si>
    <t>40.00</t>
  </si>
  <si>
    <t>705.00</t>
  </si>
  <si>
    <t>2026-07-05</t>
  </si>
  <si>
    <t>615.00</t>
  </si>
  <si>
    <t>2026-07-06</t>
  </si>
  <si>
    <t>565.00</t>
  </si>
  <si>
    <t>Total</t>
  </si>
  <si>
    <t>1030.00</t>
  </si>
  <si>
    <t>415.00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</si>
  <si>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</si>
  <si>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</si>
  <si>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</si>
  <si>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</si>
  <si>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</si>
  <si>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</si>
  <si>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0.3.26-experimental</t>
  </si>
  <si>
    <t>Supplier SHA-256</t>
  </si>
  <si>
    <t>Ledger SHA-256</t>
  </si>
  <si>
    <t>8cf602144c63041d9a3645875fba85452bf6cdd18f28a7072f155dfae714ffdc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</si>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</sst>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164" fontId="0" fillId="4" borderId="0" xfId="0" applyNumberFormat="1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5" borderId="0" xfId="0" applyFont="1" applyFill="1"/>
    <xf numFmtId="4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</xdr:row>
      <xdr:rowOff>0</xdr:rowOff>
    </xdr:from>
    <xdr:ext cx="5715000" cy="351064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Relationship Id="rId4" Type="http://schemas.openxmlformats.org/officeDocument/2006/relationships/hyperlink" Target="#&apos;Reading Issues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5" TargetMode="External"/><Relationship Id="rId6" Type="http://schemas.openxmlformats.org/officeDocument/2006/relationships/hyperlink" Target="#&apos;Parsed Ledger Source&apos;!A5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Ledger Source&apos;!A6" TargetMode="External"/><Relationship Id="rId2" Type="http://schemas.openxmlformats.org/officeDocument/2006/relationships/hyperlink" Target="#&apos;Parsed Ledger Source&apos;!A7" TargetMode="External"/><Relationship Id="rId3" Type="http://schemas.openxmlformats.org/officeDocument/2006/relationships/hyperlink" Target="#&apos;Parsed Ledger Source&apos;!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2" TargetMode="External"/><Relationship Id="rId2" Type="http://schemas.openxmlformats.org/officeDocument/2006/relationships/hyperlink" Target="#&apos;Unmatched&apos;!A3" TargetMode="External"/><Relationship Id="rId3" Type="http://schemas.openxmlformats.org/officeDocument/2006/relationships/hyperlink" Target="#&apos;Unmatched&apos;!A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5" TargetMode="External"/><Relationship Id="rId6" Type="http://schemas.openxmlformats.org/officeDocument/2006/relationships/hyperlink" Target="#&apos;Parsed Ledger Source&apos;!A5" TargetMode="External"/><Relationship Id="rId7" Type="http://schemas.openxmlformats.org/officeDocument/2006/relationships/hyperlink" Target="#&apos;Parsed Ledger Source&apos;!A6" TargetMode="External"/><Relationship Id="rId8" Type="http://schemas.openxmlformats.org/officeDocument/2006/relationships/hyperlink" Target="#&apos;Parsed Ledger Source&apos;!A7" TargetMode="External"/><Relationship Id="rId9" Type="http://schemas.openxmlformats.org/officeDocument/2006/relationships/hyperlink" Target="#&apos;Parsed Ledger Source&apos;!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5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>
        <v>46204</v>
      </c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/>
    </row>
    <row r="16" ht="30" customHeight="1" spans="1:2" s="3" customFormat="1" x14ac:dyDescent="0.25">
      <c r="A16" s="3" t="s">
        <v>21</v>
      </c>
      <c r="B16" s="3" t="s">
        <v>22</v>
      </c>
    </row>
    <row r="17" ht="30" customHeight="1" spans="1:2" s="3" customFormat="1" x14ac:dyDescent="0.25">
      <c r="A17" s="3" t="s">
        <v>23</v>
      </c>
      <c r="B17" s="5"/>
    </row>
    <row r="18" ht="30" customHeight="1" spans="1:2" s="3" customFormat="1" x14ac:dyDescent="0.25">
      <c r="A18" s="3" t="s">
        <v>24</v>
      </c>
      <c r="B18" s="5"/>
    </row>
    <row r="19" ht="30" customHeight="1" spans="1:2" s="3" customFormat="1" x14ac:dyDescent="0.25">
      <c r="A19" s="3" t="s">
        <v>25</v>
      </c>
      <c r="B19" s="5"/>
    </row>
    <row r="20" ht="30" customHeight="1" spans="1:2" s="3" customFormat="1" x14ac:dyDescent="0.25">
      <c r="A20" s="3" t="s">
        <v>26</v>
      </c>
      <c r="B20" s="5"/>
    </row>
    <row r="21" ht="30" customHeight="1" spans="1:2" s="3" customFormat="1" x14ac:dyDescent="0.25">
      <c r="A21" s="3" t="s">
        <v>27</v>
      </c>
      <c r="B21" s="5"/>
    </row>
    <row r="22" ht="30" customHeight="1" spans="1:2" s="3" customFormat="1" x14ac:dyDescent="0.25">
      <c r="A22" s="3" t="s">
        <v>28</v>
      </c>
      <c r="B22" s="5"/>
    </row>
    <row r="23" ht="30" customHeight="1" spans="1:2" s="3" customFormat="1" x14ac:dyDescent="0.25">
      <c r="A23" s="3" t="s">
        <v>29</v>
      </c>
      <c r="B23" s="3" t="s">
        <v>30</v>
      </c>
    </row>
    <row r="24" ht="30" customHeight="1" spans="1:2" s="3" customFormat="1" x14ac:dyDescent="0.25">
      <c r="A24" s="3" t="s">
        <v>31</v>
      </c>
      <c r="B24" s="3" t="s">
        <v>30</v>
      </c>
    </row>
    <row r="25" ht="30" customHeight="1" spans="1:2" s="3" customFormat="1" x14ac:dyDescent="0.25">
      <c r="A25" s="3" t="s">
        <v>32</v>
      </c>
      <c r="B25" s="3" t="s">
        <v>33</v>
      </c>
    </row>
    <row r="26" ht="30" customHeight="1" spans="1:2" s="3" customFormat="1" x14ac:dyDescent="0.25">
      <c r="A26" s="3" t="s">
        <v>34</v>
      </c>
      <c r="B26" s="3" t="s">
        <v>33</v>
      </c>
    </row>
    <row r="27" ht="30" customHeight="1" spans="1:2" s="3" customFormat="1" x14ac:dyDescent="0.25">
      <c r="A27" s="3" t="s">
        <v>35</v>
      </c>
      <c r="B27" s="3" t="s">
        <v>36</v>
      </c>
    </row>
    <row r="28" ht="30" customHeight="1" spans="1:2" s="3" customFormat="1" x14ac:dyDescent="0.25">
      <c r="A28" s="3" t="s">
        <v>37</v>
      </c>
      <c r="B28" s="6">
        <f>COUNTIF('Matches'!Q2:Q4,"Auto")</f>
        <v>3</v>
      </c>
    </row>
    <row r="29" ht="30" customHeight="1" spans="1:2" s="3" customFormat="1" x14ac:dyDescent="0.25">
      <c r="A29" s="3" t="s">
        <v>38</v>
      </c>
      <c r="B29" s="6">
        <f>SUM('Matches'!O2:P4)</f>
        <v>6</v>
      </c>
    </row>
    <row r="30" ht="30" customHeight="1" spans="1:2" s="3" customFormat="1" x14ac:dyDescent="0.25">
      <c r="A30" s="3" t="s">
        <v>39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40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41</v>
      </c>
      <c r="B32" s="6">
        <f>COUNTA('Unmatched'!A2:A4)</f>
        <v>3</v>
      </c>
    </row>
    <row r="33" ht="30" customHeight="1" spans="1:2" s="3" customFormat="1" x14ac:dyDescent="0.25">
      <c r="A33" s="3" t="s">
        <v>42</v>
      </c>
      <c r="B33" s="6">
        <f>SUM('Unmatched'!K2:K4)</f>
        <v>3</v>
      </c>
    </row>
    <row r="34" ht="30" customHeight="1" spans="1:2" s="3" customFormat="1" x14ac:dyDescent="0.25">
      <c r="A34" s="3" t="s">
        <v>43</v>
      </c>
      <c r="B34" s="3">
        <f>COUNTIF('Matches'!Q2:Q4,"Manual")</f>
        <v>0</v>
      </c>
    </row>
    <row r="35" ht="30" customHeight="1" spans="1:2" s="3" customFormat="1" x14ac:dyDescent="0.25">
      <c r="A35" s="3" t="s">
        <v>44</v>
      </c>
      <c r="B35" s="3">
        <f>COUNTIF('Needs Review'!M2:M2,"Rejected")</f>
        <v>0</v>
      </c>
    </row>
    <row r="36" ht="30" customHeight="1" spans="1:2" s="3" customFormat="1" x14ac:dyDescent="0.25">
      <c r="A36" s="3" t="s">
        <v>45</v>
      </c>
      <c r="B36" s="5">
        <f>'Reconciliation Bridge'!E6</f>
        <v>-60</v>
      </c>
    </row>
    <row r="37" ht="30" customHeight="1" spans="1:2" s="3" customFormat="1" x14ac:dyDescent="0.25">
      <c r="A37" s="3" t="s">
        <v>46</v>
      </c>
      <c r="B37" s="5"/>
    </row>
    <row r="38" ht="30" customHeight="1" spans="1:2" s="3" customFormat="1" x14ac:dyDescent="0.25">
      <c r="A38" s="3" t="s">
        <v>47</v>
      </c>
      <c r="B38" s="5"/>
    </row>
    <row r="39" ht="30" customHeight="1" spans="1:2" s="3" customFormat="1" x14ac:dyDescent="0.25">
      <c r="A39" s="3" t="s">
        <v>48</v>
      </c>
      <c r="B39" s="3" t="s">
        <v>49</v>
      </c>
    </row>
    <row r="40" ht="30" customHeight="1" spans="1:2" s="3" customFormat="1" x14ac:dyDescent="0.25">
      <c r="A40" s="3" t="s">
        <v>50</v>
      </c>
      <c r="B40" s="6" t="s">
        <v>51</v>
      </c>
    </row>
    <row r="41" ht="30" customHeight="1" spans="1:2" s="3" customFormat="1" x14ac:dyDescent="0.25">
      <c r="A41" s="3" t="s">
        <v>52</v>
      </c>
      <c r="B41" s="3" t="s">
        <v>53</v>
      </c>
    </row>
    <row r="42" ht="30" customHeight="1" spans="1:2" s="3" customFormat="1" x14ac:dyDescent="0.25">
      <c r="A42" s="3" t="s">
        <v>54</v>
      </c>
      <c r="B42" s="3" t="s">
        <v>55</v>
      </c>
    </row>
    <row r="43" ht="30" customHeight="1" spans="1:2" s="3" customFormat="1" x14ac:dyDescent="0.25">
      <c r="A43" s="3" t="s">
        <v>56</v>
      </c>
      <c r="B43" s="3" t="s">
        <v>57</v>
      </c>
    </row>
    <row r="44" ht="30" customHeight="1" spans="1:2" s="3" customFormat="1" x14ac:dyDescent="0.25">
      <c r="A44" s="3" t="s">
        <v>58</v>
      </c>
      <c r="B44" s="3">
        <v>9</v>
      </c>
    </row>
    <row r="45" ht="30" customHeight="1" spans="1:2" s="3" customFormat="1" x14ac:dyDescent="0.25">
      <c r="A45" s="3" t="s">
        <v>59</v>
      </c>
      <c r="B45" s="3">
        <v>3</v>
      </c>
    </row>
    <row r="46" ht="30" customHeight="1" spans="1:2" s="3" customFormat="1" x14ac:dyDescent="0.25">
      <c r="A46" s="3" t="s">
        <v>60</v>
      </c>
      <c r="B46" s="3">
        <v>0</v>
      </c>
    </row>
    <row r="47" ht="30" customHeight="1" spans="1:2" s="3" customFormat="1" x14ac:dyDescent="0.25">
      <c r="A47" s="3" t="s">
        <v>61</v>
      </c>
      <c r="B47" s="3">
        <v>0</v>
      </c>
    </row>
    <row r="48" ht="30" customHeight="1" spans="1:2" s="3" customFormat="1" x14ac:dyDescent="0.25">
      <c r="A48" s="3" t="s">
        <v>62</v>
      </c>
      <c r="B48" s="5">
        <v>625</v>
      </c>
    </row>
    <row r="49" ht="30" customHeight="1" spans="1:2" s="3" customFormat="1" x14ac:dyDescent="0.25">
      <c r="A49" s="3" t="s">
        <v>63</v>
      </c>
      <c r="B49" s="5">
        <v>565</v>
      </c>
    </row>
    <row r="50" ht="30" customHeight="1" spans="1:2" s="3" customFormat="1" x14ac:dyDescent="0.25">
      <c r="A50" s="3" t="s">
        <v>64</v>
      </c>
      <c r="B50" s="3" t="s">
        <v>65</v>
      </c>
    </row>
    <row r="51" ht="30" customHeight="1" spans="1:2" s="3" customFormat="1" x14ac:dyDescent="0.25">
      <c r="A51" s="3" t="s">
        <v>66</v>
      </c>
      <c r="B51" s="3" t="s">
        <v>67</v>
      </c>
    </row>
  </sheetData>
  <autoFilter ref="A1:B51"/>
  <hyperlinks>
    <hyperlink ref="B40" r:id="rId1" location="#'Needs Review'!A1"/>
    <hyperlink ref="B41" r:id="rId2" location="#'Review Sign-off'!A1"/>
    <hyperlink ref="B42" r:id="rId3" location="#'Export Metadata'!A1"/>
    <hyperlink ref="B51" r:id="rId4" location="#'Reading Issues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68</v>
      </c>
      <c r="B1" s="2" t="s">
        <v>69</v>
      </c>
      <c r="C1" s="2" t="s">
        <v>70</v>
      </c>
      <c r="D1" s="2" t="s">
        <v>71</v>
      </c>
      <c r="E1" s="8" t="s">
        <v>72</v>
      </c>
      <c r="F1" s="2" t="s">
        <v>73</v>
      </c>
      <c r="G1" s="2" t="s">
        <v>74</v>
      </c>
      <c r="H1" s="8" t="s">
        <v>75</v>
      </c>
      <c r="I1" s="2" t="s">
        <v>76</v>
      </c>
      <c r="J1" s="2" t="s">
        <v>77</v>
      </c>
      <c r="K1" s="2" t="s">
        <v>78</v>
      </c>
      <c r="L1" s="2" t="s">
        <v>79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  <c r="S1" s="2" t="s">
        <v>86</v>
      </c>
    </row>
    <row r="2" ht="42" customHeight="1" spans="1:19" s="9" customFormat="1" x14ac:dyDescent="0.25">
      <c r="A2" s="10" t="s">
        <v>87</v>
      </c>
      <c r="B2" s="10" t="s">
        <v>88</v>
      </c>
      <c r="C2" s="11">
        <v>46204</v>
      </c>
      <c r="D2" s="10" t="s">
        <v>89</v>
      </c>
      <c r="E2" s="12">
        <v>1000</v>
      </c>
      <c r="F2" s="11">
        <v>46204</v>
      </c>
      <c r="G2" s="10" t="s">
        <v>89</v>
      </c>
      <c r="H2" s="12">
        <v>1000</v>
      </c>
      <c r="I2" s="10" t="s">
        <v>90</v>
      </c>
      <c r="J2" s="10">
        <v>0</v>
      </c>
      <c r="K2" s="10" t="s">
        <v>91</v>
      </c>
      <c r="L2" s="10" t="s">
        <v>92</v>
      </c>
      <c r="M2" s="10" t="s">
        <v>93</v>
      </c>
      <c r="N2" s="9"/>
      <c r="O2" s="10">
        <v>1</v>
      </c>
      <c r="P2" s="10">
        <v>1</v>
      </c>
      <c r="Q2" s="10" t="s">
        <v>94</v>
      </c>
      <c r="R2" s="13" t="s">
        <v>95</v>
      </c>
      <c r="S2" s="13" t="s">
        <v>96</v>
      </c>
    </row>
    <row r="3" ht="42" customHeight="1" spans="1:19" s="9" customFormat="1" x14ac:dyDescent="0.25">
      <c r="A3" s="10" t="s">
        <v>97</v>
      </c>
      <c r="B3" s="10" t="s">
        <v>88</v>
      </c>
      <c r="C3" s="11">
        <v>46205</v>
      </c>
      <c r="D3" s="10" t="s">
        <v>98</v>
      </c>
      <c r="E3" s="12">
        <v>-250</v>
      </c>
      <c r="F3" s="11">
        <v>46205</v>
      </c>
      <c r="G3" s="10" t="s">
        <v>98</v>
      </c>
      <c r="H3" s="12">
        <v>-250</v>
      </c>
      <c r="I3" s="10" t="s">
        <v>90</v>
      </c>
      <c r="J3" s="10">
        <v>0</v>
      </c>
      <c r="K3" s="10" t="s">
        <v>91</v>
      </c>
      <c r="L3" s="10" t="s">
        <v>92</v>
      </c>
      <c r="M3" s="10" t="s">
        <v>93</v>
      </c>
      <c r="N3" s="9"/>
      <c r="O3" s="10">
        <v>1</v>
      </c>
      <c r="P3" s="10">
        <v>1</v>
      </c>
      <c r="Q3" s="10" t="s">
        <v>94</v>
      </c>
      <c r="R3" s="13" t="s">
        <v>99</v>
      </c>
      <c r="S3" s="13" t="s">
        <v>100</v>
      </c>
    </row>
    <row r="4" ht="42" customHeight="1" spans="1:19" s="9" customFormat="1" x14ac:dyDescent="0.25">
      <c r="A4" s="10" t="s">
        <v>101</v>
      </c>
      <c r="B4" s="10" t="s">
        <v>88</v>
      </c>
      <c r="C4" s="11">
        <v>46206</v>
      </c>
      <c r="D4" s="10" t="s">
        <v>102</v>
      </c>
      <c r="E4" s="12">
        <v>-125</v>
      </c>
      <c r="F4" s="11">
        <v>46206</v>
      </c>
      <c r="G4" s="10" t="s">
        <v>102</v>
      </c>
      <c r="H4" s="12">
        <v>-125</v>
      </c>
      <c r="I4" s="10" t="s">
        <v>90</v>
      </c>
      <c r="J4" s="10">
        <v>0</v>
      </c>
      <c r="K4" s="10" t="s">
        <v>91</v>
      </c>
      <c r="L4" s="10" t="s">
        <v>92</v>
      </c>
      <c r="M4" s="10" t="s">
        <v>93</v>
      </c>
      <c r="N4" s="9"/>
      <c r="O4" s="10">
        <v>1</v>
      </c>
      <c r="P4" s="10">
        <v>1</v>
      </c>
      <c r="Q4" s="10" t="s">
        <v>94</v>
      </c>
      <c r="R4" s="13" t="s">
        <v>103</v>
      </c>
      <c r="S4" s="13" t="s">
        <v>104</v>
      </c>
    </row>
  </sheetData>
  <autoFilter ref="A1:S4"/>
  <hyperlinks>
    <hyperlink ref="R2" r:id="rId1" location="#'Parsed Supplier Source'!A3"/>
    <hyperlink ref="S2" r:id="rId2" location="#'Parsed Ledger Source'!A3"/>
    <hyperlink ref="R3" r:id="rId3" location="#'Parsed Supplier Source'!A4"/>
    <hyperlink ref="S3" r:id="rId4" location="#'Parsed Ledger Source'!A4"/>
    <hyperlink ref="R4" r:id="rId5" location="#'Parsed Supplier Source'!A5"/>
    <hyperlink ref="S4" r:id="rId6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68</v>
      </c>
      <c r="B1" s="2" t="s">
        <v>105</v>
      </c>
      <c r="C1" s="2" t="s">
        <v>106</v>
      </c>
      <c r="D1" s="2" t="s">
        <v>107</v>
      </c>
      <c r="E1" s="8" t="s">
        <v>108</v>
      </c>
      <c r="F1" s="8" t="s">
        <v>109</v>
      </c>
      <c r="G1" s="8" t="s">
        <v>110</v>
      </c>
      <c r="H1" s="2" t="s">
        <v>79</v>
      </c>
      <c r="I1" s="2" t="s">
        <v>111</v>
      </c>
      <c r="J1" s="2" t="s">
        <v>112</v>
      </c>
      <c r="K1" s="2" t="s">
        <v>113</v>
      </c>
      <c r="L1" s="2" t="s">
        <v>114</v>
      </c>
      <c r="M1" s="2" t="s">
        <v>80</v>
      </c>
      <c r="N1" s="2" t="s">
        <v>82</v>
      </c>
      <c r="O1" s="2" t="s">
        <v>83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68</v>
      </c>
      <c r="B1" s="2" t="s">
        <v>115</v>
      </c>
      <c r="C1" s="2" t="s">
        <v>116</v>
      </c>
      <c r="D1" s="2" t="s">
        <v>117</v>
      </c>
      <c r="E1" s="2" t="s">
        <v>118</v>
      </c>
      <c r="F1" s="2" t="s">
        <v>119</v>
      </c>
      <c r="G1" s="2" t="s">
        <v>120</v>
      </c>
      <c r="H1" s="8" t="s">
        <v>121</v>
      </c>
      <c r="I1" s="2" t="s">
        <v>122</v>
      </c>
      <c r="J1" s="2" t="s">
        <v>123</v>
      </c>
      <c r="K1" s="2" t="s">
        <v>124</v>
      </c>
    </row>
    <row r="2" ht="42" customHeight="1" spans="1:11" s="14" customFormat="1" x14ac:dyDescent="0.25">
      <c r="A2" s="15" t="s">
        <v>125</v>
      </c>
      <c r="B2" s="15" t="s">
        <v>126</v>
      </c>
      <c r="C2" s="16">
        <v>46207</v>
      </c>
      <c r="D2" s="15" t="s">
        <v>127</v>
      </c>
      <c r="E2" s="15" t="s">
        <v>128</v>
      </c>
      <c r="F2" s="14"/>
      <c r="G2" s="14"/>
      <c r="H2" s="17">
        <v>80</v>
      </c>
      <c r="I2" s="15" t="s">
        <v>129</v>
      </c>
      <c r="J2" s="18" t="s">
        <v>130</v>
      </c>
      <c r="K2" s="15">
        <v>1</v>
      </c>
    </row>
    <row r="3" ht="42" customHeight="1" spans="1:11" s="14" customFormat="1" x14ac:dyDescent="0.25">
      <c r="A3" s="15" t="s">
        <v>131</v>
      </c>
      <c r="B3" s="15" t="s">
        <v>126</v>
      </c>
      <c r="C3" s="16">
        <v>46208</v>
      </c>
      <c r="D3" s="15" t="s">
        <v>127</v>
      </c>
      <c r="E3" s="15" t="s">
        <v>132</v>
      </c>
      <c r="F3" s="14"/>
      <c r="G3" s="14"/>
      <c r="H3" s="17">
        <v>-90</v>
      </c>
      <c r="I3" s="15" t="s">
        <v>133</v>
      </c>
      <c r="J3" s="18" t="s">
        <v>134</v>
      </c>
      <c r="K3" s="15">
        <v>1</v>
      </c>
    </row>
    <row r="4" ht="42" customHeight="1" spans="1:11" s="14" customFormat="1" x14ac:dyDescent="0.25">
      <c r="A4" s="15" t="s">
        <v>135</v>
      </c>
      <c r="B4" s="15" t="s">
        <v>126</v>
      </c>
      <c r="C4" s="16">
        <v>46209</v>
      </c>
      <c r="D4" s="15" t="s">
        <v>127</v>
      </c>
      <c r="E4" s="15" t="s">
        <v>136</v>
      </c>
      <c r="F4" s="14"/>
      <c r="G4" s="14"/>
      <c r="H4" s="17">
        <v>-50</v>
      </c>
      <c r="I4" s="15" t="s">
        <v>137</v>
      </c>
      <c r="J4" s="18" t="s">
        <v>138</v>
      </c>
      <c r="K4" s="15">
        <v>1</v>
      </c>
    </row>
  </sheetData>
  <autoFilter ref="A1:K4"/>
  <hyperlinks>
    <hyperlink ref="J2" r:id="rId1" location="#'Parsed Ledger Source'!A6"/>
    <hyperlink ref="J3" r:id="rId2" location="#'Parsed Ledger Source'!A7"/>
    <hyperlink ref="J4" r:id="rId3" location="#'Parsed Ledg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68</v>
      </c>
      <c r="B1" s="2" t="s">
        <v>105</v>
      </c>
      <c r="C1" s="8" t="s">
        <v>72</v>
      </c>
      <c r="D1" s="8" t="s">
        <v>75</v>
      </c>
      <c r="E1" s="8" t="s">
        <v>139</v>
      </c>
      <c r="F1" s="2" t="s">
        <v>140</v>
      </c>
      <c r="G1" s="2" t="s">
        <v>141</v>
      </c>
      <c r="H1" s="2" t="s">
        <v>142</v>
      </c>
    </row>
    <row r="2" ht="42" customHeight="1" spans="1:8" x14ac:dyDescent="0.25">
      <c r="A2" s="3" t="s">
        <v>125</v>
      </c>
      <c r="B2" s="3" t="s">
        <v>143</v>
      </c>
      <c r="C2" s="19">
        <v>0</v>
      </c>
      <c r="D2" s="19">
        <v>80</v>
      </c>
      <c r="E2" s="19">
        <v>80</v>
      </c>
      <c r="F2" s="3" t="s">
        <v>129</v>
      </c>
      <c r="G2" s="3" t="s">
        <v>144</v>
      </c>
      <c r="H2" s="20" t="s">
        <v>145</v>
      </c>
    </row>
    <row r="3" ht="42" customHeight="1" spans="1:8" x14ac:dyDescent="0.25">
      <c r="A3" s="3" t="s">
        <v>131</v>
      </c>
      <c r="B3" s="3" t="s">
        <v>143</v>
      </c>
      <c r="C3" s="19">
        <v>0</v>
      </c>
      <c r="D3" s="19">
        <v>-90</v>
      </c>
      <c r="E3" s="19">
        <v>-90</v>
      </c>
      <c r="F3" s="3" t="s">
        <v>133</v>
      </c>
      <c r="G3" s="3" t="s">
        <v>144</v>
      </c>
      <c r="H3" s="20" t="s">
        <v>146</v>
      </c>
    </row>
    <row r="4" ht="42" customHeight="1" spans="1:8" x14ac:dyDescent="0.25">
      <c r="A4" s="3" t="s">
        <v>135</v>
      </c>
      <c r="B4" s="3" t="s">
        <v>143</v>
      </c>
      <c r="C4" s="19">
        <v>0</v>
      </c>
      <c r="D4" s="19">
        <v>-50</v>
      </c>
      <c r="E4" s="19">
        <v>-50</v>
      </c>
      <c r="F4" s="3" t="s">
        <v>137</v>
      </c>
      <c r="G4" s="3" t="s">
        <v>144</v>
      </c>
      <c r="H4" s="20" t="s">
        <v>147</v>
      </c>
    </row>
    <row r="6" ht="32" customHeight="1" spans="4:5" x14ac:dyDescent="0.25">
      <c r="D6" s="21" t="s">
        <v>45</v>
      </c>
      <c r="E6" s="7">
        <f>SUM(E2:E4)</f>
        <v>-60</v>
      </c>
    </row>
    <row r="7" ht="32" customHeight="1" spans="4:5" x14ac:dyDescent="0.25">
      <c r="D7" s="21" t="s">
        <v>25</v>
      </c>
      <c r="E7" s="7"/>
    </row>
    <row r="8" ht="32" customHeight="1" spans="4:5" x14ac:dyDescent="0.25">
      <c r="D8" s="21" t="s">
        <v>46</v>
      </c>
      <c r="E8" s="7"/>
    </row>
    <row r="9" ht="32" customHeight="1" spans="4:5" x14ac:dyDescent="0.25">
      <c r="D9" s="21" t="s">
        <v>26</v>
      </c>
      <c r="E9" s="7"/>
    </row>
    <row r="10" ht="32" customHeight="1" spans="4:5" x14ac:dyDescent="0.25">
      <c r="D10" s="21" t="s">
        <v>47</v>
      </c>
      <c r="E10" s="7"/>
    </row>
    <row r="12" spans="1:8" x14ac:dyDescent="0.25">
      <c r="A12" s="22" t="s">
        <v>148</v>
      </c>
      <c r="B12" s="22"/>
      <c r="C12" s="22"/>
      <c r="D12" s="22"/>
      <c r="E12" s="22"/>
      <c r="F12" s="22"/>
      <c r="G12" s="22"/>
      <c r="H12" s="22"/>
    </row>
    <row r="13" spans="1:8" x14ac:dyDescent="0.25">
      <c r="A13" s="22"/>
      <c r="B13" s="22"/>
      <c r="C13" s="22"/>
      <c r="D13" s="22"/>
      <c r="E13" s="22"/>
      <c r="F13" s="22"/>
      <c r="G13" s="22"/>
      <c r="H13" s="22"/>
    </row>
  </sheetData>
  <autoFilter ref="A1:H4"/>
  <mergeCells count="1">
    <mergeCell ref="A12:H13"/>
  </mergeCells>
  <hyperlinks>
    <hyperlink ref="H2" r:id="rId1" location="#'Unmatched'!A2"/>
    <hyperlink ref="H3" r:id="rId2" location="#'Unmatched'!A3"/>
    <hyperlink ref="H4" r:id="rId3" location="#'Unmatched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149</v>
      </c>
    </row>
    <row r="3" ht="42" customHeight="1" spans="1:2" x14ac:dyDescent="0.25">
      <c r="A3" s="3" t="s">
        <v>150</v>
      </c>
    </row>
    <row r="4" ht="42" customHeight="1" spans="1:2" x14ac:dyDescent="0.25">
      <c r="A4" s="3" t="s">
        <v>151</v>
      </c>
      <c r="B4" s="3" t="s">
        <v>152</v>
      </c>
    </row>
    <row r="5" ht="42" customHeight="1" spans="1:2" x14ac:dyDescent="0.25">
      <c r="A5" s="3" t="s">
        <v>153</v>
      </c>
      <c r="B5" s="3" t="s">
        <v>154</v>
      </c>
    </row>
    <row r="6" ht="42" customHeight="1" spans="1:2" x14ac:dyDescent="0.25">
      <c r="A6" s="3" t="s">
        <v>155</v>
      </c>
      <c r="B6" s="3" t="s">
        <v>156</v>
      </c>
    </row>
    <row r="7" ht="42" customHeight="1" spans="1:2" x14ac:dyDescent="0.25">
      <c r="A7" s="3" t="s">
        <v>157</v>
      </c>
    </row>
    <row r="8" ht="42" customHeight="1" spans="1:2" x14ac:dyDescent="0.25">
      <c r="A8" s="3" t="s">
        <v>2</v>
      </c>
      <c r="B8" s="3" t="s">
        <v>158</v>
      </c>
    </row>
    <row r="9" ht="42" customHeight="1" spans="1:2" x14ac:dyDescent="0.25">
      <c r="A9" s="3" t="s">
        <v>159</v>
      </c>
      <c r="B9" s="20" t="s">
        <v>160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45" customWidth="1"/>
    <col min="5" max="5" width="29" customWidth="1"/>
    <col min="6" max="8" width="45" customWidth="1"/>
  </cols>
  <sheetData>
    <row r="1" ht="28" customHeight="1" spans="1:8" s="23" customFormat="1" x14ac:dyDescent="0.25">
      <c r="A1" s="23" t="s">
        <v>115</v>
      </c>
      <c r="B1" s="23" t="s">
        <v>161</v>
      </c>
      <c r="C1" s="23" t="s">
        <v>162</v>
      </c>
      <c r="D1" s="23" t="s">
        <v>163</v>
      </c>
      <c r="E1" s="23" t="s">
        <v>164</v>
      </c>
      <c r="F1" s="23" t="s">
        <v>165</v>
      </c>
      <c r="G1" s="23" t="s">
        <v>166</v>
      </c>
      <c r="H1" s="23" t="s">
        <v>167</v>
      </c>
    </row>
    <row r="2" spans="1:8" s="3" customFormat="1" x14ac:dyDescent="0.25">
      <c r="A2" s="3" t="s">
        <v>168</v>
      </c>
      <c r="B2" s="3" t="s">
        <v>169</v>
      </c>
      <c r="C2" s="3" t="s">
        <v>170</v>
      </c>
      <c r="D2" s="3" t="s">
        <v>171</v>
      </c>
      <c r="E2" s="3" t="s">
        <v>172</v>
      </c>
      <c r="F2" s="3" t="s">
        <v>173</v>
      </c>
      <c r="G2" s="3" t="s">
        <v>174</v>
      </c>
      <c r="H2" s="3" t="s">
        <v>175</v>
      </c>
    </row>
  </sheetData>
  <autoFilter ref="A1:H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45" customWidth="1"/>
  </cols>
  <sheetData>
    <row r="1" ht="28" customHeight="1" spans="1:3" s="23" customFormat="1" x14ac:dyDescent="0.25">
      <c r="A1" s="23" t="s">
        <v>115</v>
      </c>
      <c r="B1" s="23" t="s">
        <v>176</v>
      </c>
      <c r="C1" s="23" t="s">
        <v>177</v>
      </c>
    </row>
    <row r="2" spans="1:3" s="3" customFormat="1" x14ac:dyDescent="0.25">
      <c r="A2" s="3" t="s">
        <v>168</v>
      </c>
      <c r="B2" s="3">
        <v>1</v>
      </c>
      <c r="C2" s="3" t="s">
        <v>178</v>
      </c>
    </row>
    <row r="3" spans="1:3" s="3" customFormat="1" x14ac:dyDescent="0.25">
      <c r="A3" s="3" t="s">
        <v>168</v>
      </c>
      <c r="B3" s="3">
        <v>2</v>
      </c>
      <c r="C3" s="3" t="s">
        <v>179</v>
      </c>
    </row>
    <row r="4" spans="1:3" s="3" customFormat="1" x14ac:dyDescent="0.25">
      <c r="A4" s="3" t="s">
        <v>168</v>
      </c>
      <c r="B4" s="3">
        <v>3</v>
      </c>
      <c r="C4" s="3" t="s">
        <v>180</v>
      </c>
    </row>
    <row r="5" spans="1:3" s="3" customFormat="1" x14ac:dyDescent="0.25">
      <c r="A5" s="3" t="s">
        <v>168</v>
      </c>
      <c r="B5" s="3">
        <v>4</v>
      </c>
      <c r="C5" s="3" t="s">
        <v>181</v>
      </c>
    </row>
    <row r="6" spans="1:3" s="3" customFormat="1" x14ac:dyDescent="0.25">
      <c r="A6" s="3" t="s">
        <v>168</v>
      </c>
      <c r="B6" s="3">
        <v>5</v>
      </c>
      <c r="C6" s="3" t="s">
        <v>182</v>
      </c>
    </row>
    <row r="7" spans="1:3" s="3" customFormat="1" x14ac:dyDescent="0.25">
      <c r="A7" s="3" t="s">
        <v>168</v>
      </c>
      <c r="B7" s="3">
        <v>6</v>
      </c>
      <c r="C7" s="3" t="s">
        <v>183</v>
      </c>
    </row>
    <row r="8" spans="1:3" s="3" customFormat="1" x14ac:dyDescent="0.25">
      <c r="A8" s="3" t="s">
        <v>168</v>
      </c>
      <c r="B8" s="3">
        <v>7</v>
      </c>
      <c r="C8" s="3" t="s">
        <v>184</v>
      </c>
    </row>
    <row r="9" spans="1:3" s="3" customFormat="1" x14ac:dyDescent="0.25">
      <c r="A9" s="3" t="s">
        <v>168</v>
      </c>
      <c r="B9" s="3">
        <v>8</v>
      </c>
      <c r="C9" s="3" t="s">
        <v>185</v>
      </c>
    </row>
    <row r="10" spans="1:3" s="3" customFormat="1" x14ac:dyDescent="0.25">
      <c r="A10" s="3" t="s">
        <v>168</v>
      </c>
      <c r="B10" s="3">
        <v>9</v>
      </c>
      <c r="C10" s="3" t="s">
        <v>186</v>
      </c>
    </row>
    <row r="11" spans="1:3" s="3" customFormat="1" x14ac:dyDescent="0.25">
      <c r="A11" s="3" t="s">
        <v>168</v>
      </c>
      <c r="B11" s="3">
        <v>10</v>
      </c>
      <c r="C11" s="3" t="s">
        <v>187</v>
      </c>
    </row>
    <row r="12" spans="1:3" s="3" customFormat="1" x14ac:dyDescent="0.25">
      <c r="A12" s="3" t="s">
        <v>168</v>
      </c>
      <c r="B12" s="3">
        <v>11</v>
      </c>
      <c r="C12" s="3" t="s">
        <v>188</v>
      </c>
    </row>
    <row r="13" spans="1:3" s="3" customFormat="1" x14ac:dyDescent="0.25">
      <c r="A13" s="3" t="s">
        <v>168</v>
      </c>
      <c r="B13" s="3">
        <v>12</v>
      </c>
      <c r="C13" s="3" t="s">
        <v>189</v>
      </c>
    </row>
    <row r="14" spans="1:3" s="3" customFormat="1" x14ac:dyDescent="0.25">
      <c r="A14" s="3" t="s">
        <v>168</v>
      </c>
      <c r="B14" s="3">
        <v>13</v>
      </c>
      <c r="C14" s="3" t="s">
        <v>190</v>
      </c>
    </row>
    <row r="15" spans="1:3" s="3" customFormat="1" x14ac:dyDescent="0.25">
      <c r="A15" s="3" t="s">
        <v>168</v>
      </c>
      <c r="B15" s="3">
        <v>14</v>
      </c>
      <c r="C15" s="3" t="s">
        <v>191</v>
      </c>
    </row>
    <row r="16" spans="1:3" s="3" customFormat="1" x14ac:dyDescent="0.25">
      <c r="A16" s="3" t="s">
        <v>168</v>
      </c>
      <c r="B16" s="3">
        <v>15</v>
      </c>
      <c r="C16" s="3" t="s">
        <v>192</v>
      </c>
    </row>
    <row r="17" spans="1:3" s="3" customFormat="1" x14ac:dyDescent="0.25">
      <c r="A17" s="3" t="s">
        <v>168</v>
      </c>
      <c r="B17" s="3">
        <v>16</v>
      </c>
      <c r="C17" s="3" t="s">
        <v>193</v>
      </c>
    </row>
    <row r="18" spans="1:3" s="3" customFormat="1" x14ac:dyDescent="0.25">
      <c r="A18" s="3" t="s">
        <v>168</v>
      </c>
      <c r="B18" s="3">
        <v>17</v>
      </c>
      <c r="C18" s="3" t="s">
        <v>194</v>
      </c>
    </row>
    <row r="19" spans="1:3" s="3" customFormat="1" x14ac:dyDescent="0.25">
      <c r="A19" s="3" t="s">
        <v>168</v>
      </c>
      <c r="B19" s="3">
        <v>18</v>
      </c>
      <c r="C19" s="3" t="s">
        <v>195</v>
      </c>
    </row>
    <row r="20" spans="1:3" s="3" customFormat="1" x14ac:dyDescent="0.25">
      <c r="A20" s="3" t="s">
        <v>168</v>
      </c>
      <c r="B20" s="3">
        <v>19</v>
      </c>
      <c r="C20" s="3" t="s">
        <v>196</v>
      </c>
    </row>
    <row r="21" spans="1:3" s="3" customFormat="1" x14ac:dyDescent="0.25">
      <c r="A21" s="3" t="s">
        <v>168</v>
      </c>
      <c r="B21" s="3">
        <v>20</v>
      </c>
      <c r="C21" s="3" t="s">
        <v>197</v>
      </c>
    </row>
    <row r="22" spans="1:3" s="3" customFormat="1" x14ac:dyDescent="0.25">
      <c r="A22" s="3" t="s">
        <v>168</v>
      </c>
      <c r="B22" s="3">
        <v>21</v>
      </c>
      <c r="C22" s="3" t="s">
        <v>198</v>
      </c>
    </row>
    <row r="23" spans="1:3" s="3" customFormat="1" x14ac:dyDescent="0.25">
      <c r="A23" s="3" t="s">
        <v>168</v>
      </c>
      <c r="B23" s="3">
        <v>22</v>
      </c>
      <c r="C23" s="3" t="s">
        <v>199</v>
      </c>
    </row>
    <row r="24" spans="1:3" s="3" customFormat="1" x14ac:dyDescent="0.25">
      <c r="A24" s="3" t="s">
        <v>168</v>
      </c>
      <c r="B24" s="3">
        <v>23</v>
      </c>
      <c r="C24" s="3" t="s">
        <v>200</v>
      </c>
    </row>
    <row r="25" spans="1:3" s="3" customFormat="1" x14ac:dyDescent="0.25">
      <c r="A25" s="3" t="s">
        <v>168</v>
      </c>
      <c r="B25" s="3">
        <v>24</v>
      </c>
      <c r="C25" s="3" t="s">
        <v>201</v>
      </c>
    </row>
    <row r="26" spans="1:3" s="3" customFormat="1" x14ac:dyDescent="0.25">
      <c r="A26" s="3" t="s">
        <v>168</v>
      </c>
      <c r="B26" s="3">
        <v>25</v>
      </c>
      <c r="C26" s="3" t="s">
        <v>202</v>
      </c>
    </row>
    <row r="27" spans="1:3" s="3" customFormat="1" x14ac:dyDescent="0.25">
      <c r="A27" s="3" t="s">
        <v>168</v>
      </c>
      <c r="B27" s="3">
        <v>26</v>
      </c>
      <c r="C27" s="3" t="s">
        <v>203</v>
      </c>
    </row>
    <row r="28" spans="1:3" s="3" customFormat="1" x14ac:dyDescent="0.25">
      <c r="A28" s="3" t="s">
        <v>168</v>
      </c>
      <c r="B28" s="3">
        <v>27</v>
      </c>
      <c r="C28" s="3" t="s">
        <v>204</v>
      </c>
    </row>
    <row r="29" spans="1:3" s="3" customFormat="1" x14ac:dyDescent="0.25">
      <c r="A29" s="3" t="s">
        <v>168</v>
      </c>
      <c r="B29" s="3">
        <v>28</v>
      </c>
      <c r="C29" s="3" t="s">
        <v>205</v>
      </c>
    </row>
    <row r="30" spans="1:3" s="3" customFormat="1" x14ac:dyDescent="0.25">
      <c r="A30" s="3" t="s">
        <v>168</v>
      </c>
      <c r="B30" s="3">
        <v>29</v>
      </c>
      <c r="C30" s="3" t="s">
        <v>206</v>
      </c>
    </row>
    <row r="31" spans="1:3" s="3" customFormat="1" x14ac:dyDescent="0.25">
      <c r="A31" s="3" t="s">
        <v>168</v>
      </c>
      <c r="B31" s="3">
        <v>30</v>
      </c>
      <c r="C31" s="3" t="s">
        <v>207</v>
      </c>
    </row>
    <row r="32" spans="1:3" s="3" customFormat="1" x14ac:dyDescent="0.25">
      <c r="A32" s="3" t="s">
        <v>168</v>
      </c>
      <c r="B32" s="3">
        <v>31</v>
      </c>
      <c r="C32" s="3" t="s">
        <v>208</v>
      </c>
    </row>
    <row r="33" spans="1:3" s="3" customFormat="1" x14ac:dyDescent="0.25">
      <c r="A33" s="3" t="s">
        <v>168</v>
      </c>
      <c r="B33" s="3">
        <v>32</v>
      </c>
      <c r="C33" s="3" t="s">
        <v>209</v>
      </c>
    </row>
    <row r="34" spans="1:3" s="3" customFormat="1" x14ac:dyDescent="0.25">
      <c r="A34" s="3" t="s">
        <v>168</v>
      </c>
      <c r="B34" s="3">
        <v>33</v>
      </c>
      <c r="C34" s="3" t="s">
        <v>210</v>
      </c>
    </row>
    <row r="35" spans="1:3" s="3" customFormat="1" x14ac:dyDescent="0.25">
      <c r="A35" s="3" t="s">
        <v>168</v>
      </c>
      <c r="B35" s="3">
        <v>34</v>
      </c>
      <c r="C35" s="3" t="s">
        <v>211</v>
      </c>
    </row>
    <row r="36" spans="1:3" s="3" customFormat="1" x14ac:dyDescent="0.25">
      <c r="A36" s="3" t="s">
        <v>168</v>
      </c>
      <c r="B36" s="3">
        <v>35</v>
      </c>
      <c r="C36" s="3" t="s">
        <v>212</v>
      </c>
    </row>
    <row r="37" spans="1:3" s="3" customFormat="1" x14ac:dyDescent="0.25">
      <c r="A37" s="3" t="s">
        <v>168</v>
      </c>
      <c r="B37" s="3">
        <v>36</v>
      </c>
      <c r="C37" s="3" t="s">
        <v>213</v>
      </c>
    </row>
    <row r="38" spans="1:3" s="3" customFormat="1" x14ac:dyDescent="0.25">
      <c r="A38" s="3" t="s">
        <v>168</v>
      </c>
      <c r="B38" s="3">
        <v>37</v>
      </c>
      <c r="C38" s="3" t="s">
        <v>214</v>
      </c>
    </row>
    <row r="39" spans="1:3" s="3" customFormat="1" x14ac:dyDescent="0.25">
      <c r="A39" s="3" t="s">
        <v>168</v>
      </c>
      <c r="B39" s="3">
        <v>38</v>
      </c>
      <c r="C39" s="3" t="s">
        <v>215</v>
      </c>
    </row>
    <row r="40" spans="1:3" s="3" customFormat="1" x14ac:dyDescent="0.25">
      <c r="A40" s="3" t="s">
        <v>168</v>
      </c>
      <c r="B40" s="3">
        <v>39</v>
      </c>
      <c r="C40" s="3" t="s">
        <v>216</v>
      </c>
    </row>
    <row r="41" spans="1:3" s="3" customFormat="1" x14ac:dyDescent="0.25">
      <c r="A41" s="3" t="s">
        <v>168</v>
      </c>
      <c r="B41" s="3">
        <v>40</v>
      </c>
      <c r="C41" s="3" t="s">
        <v>217</v>
      </c>
    </row>
    <row r="42" spans="1:3" s="3" customFormat="1" x14ac:dyDescent="0.25">
      <c r="A42" s="3" t="s">
        <v>168</v>
      </c>
      <c r="B42" s="3">
        <v>41</v>
      </c>
      <c r="C42" s="3" t="s">
        <v>218</v>
      </c>
    </row>
    <row r="43" spans="1:3" s="3" customFormat="1" x14ac:dyDescent="0.25">
      <c r="A43" s="3" t="s">
        <v>168</v>
      </c>
      <c r="B43" s="3">
        <v>42</v>
      </c>
      <c r="C43" s="3" t="s">
        <v>219</v>
      </c>
    </row>
    <row r="44" spans="1:3" s="3" customFormat="1" x14ac:dyDescent="0.25">
      <c r="A44" s="3" t="s">
        <v>168</v>
      </c>
      <c r="B44" s="3">
        <v>43</v>
      </c>
      <c r="C44" s="3" t="s">
        <v>220</v>
      </c>
    </row>
    <row r="45" spans="1:3" s="3" customFormat="1" x14ac:dyDescent="0.25">
      <c r="A45" s="3" t="s">
        <v>168</v>
      </c>
      <c r="B45" s="3">
        <v>44</v>
      </c>
      <c r="C45" s="3" t="s">
        <v>221</v>
      </c>
    </row>
    <row r="46" spans="1:3" s="3" customFormat="1" x14ac:dyDescent="0.25">
      <c r="A46" s="3" t="s">
        <v>168</v>
      </c>
      <c r="B46" s="3">
        <v>45</v>
      </c>
      <c r="C46" s="3" t="s">
        <v>222</v>
      </c>
    </row>
    <row r="47" spans="1:3" s="3" customFormat="1" x14ac:dyDescent="0.25">
      <c r="A47" s="3" t="s">
        <v>168</v>
      </c>
      <c r="B47" s="3">
        <v>46</v>
      </c>
      <c r="C47" s="3" t="s">
        <v>223</v>
      </c>
    </row>
    <row r="48" spans="1:3" s="3" customFormat="1" x14ac:dyDescent="0.25">
      <c r="A48" s="3" t="s">
        <v>168</v>
      </c>
      <c r="B48" s="3">
        <v>47</v>
      </c>
      <c r="C48" s="3" t="s">
        <v>224</v>
      </c>
    </row>
    <row r="49" spans="1:3" s="3" customFormat="1" x14ac:dyDescent="0.25">
      <c r="A49" s="3" t="s">
        <v>168</v>
      </c>
      <c r="B49" s="3">
        <v>48</v>
      </c>
      <c r="C49" s="3" t="s">
        <v>225</v>
      </c>
    </row>
    <row r="50" spans="1:3" s="3" customFormat="1" x14ac:dyDescent="0.25">
      <c r="A50" s="3" t="s">
        <v>168</v>
      </c>
      <c r="B50" s="3">
        <v>49</v>
      </c>
      <c r="C50" s="3" t="s">
        <v>226</v>
      </c>
    </row>
    <row r="51" spans="1:3" s="3" customFormat="1" x14ac:dyDescent="0.25">
      <c r="A51" s="3" t="s">
        <v>168</v>
      </c>
      <c r="B51" s="3">
        <v>50</v>
      </c>
      <c r="C51" s="3" t="s">
        <v>227</v>
      </c>
    </row>
    <row r="52" spans="1:3" s="3" customFormat="1" x14ac:dyDescent="0.25">
      <c r="A52" s="3" t="s">
        <v>168</v>
      </c>
      <c r="B52" s="3">
        <v>51</v>
      </c>
      <c r="C52" s="3" t="s">
        <v>228</v>
      </c>
    </row>
    <row r="53" spans="1:3" s="3" customFormat="1" x14ac:dyDescent="0.25">
      <c r="A53" s="3" t="s">
        <v>168</v>
      </c>
      <c r="B53" s="3">
        <v>52</v>
      </c>
      <c r="C53" s="3" t="s">
        <v>229</v>
      </c>
    </row>
    <row r="54" spans="1:3" s="3" customFormat="1" x14ac:dyDescent="0.25">
      <c r="A54" s="3" t="s">
        <v>168</v>
      </c>
      <c r="B54" s="3">
        <v>53</v>
      </c>
      <c r="C54" s="3" t="s">
        <v>230</v>
      </c>
    </row>
    <row r="55" spans="1:3" s="3" customFormat="1" x14ac:dyDescent="0.25">
      <c r="A55" s="3" t="s">
        <v>168</v>
      </c>
      <c r="B55" s="3">
        <v>54</v>
      </c>
      <c r="C55" s="3" t="s">
        <v>231</v>
      </c>
    </row>
    <row r="56" spans="1:3" s="3" customFormat="1" x14ac:dyDescent="0.25">
      <c r="A56" s="3" t="s">
        <v>168</v>
      </c>
      <c r="B56" s="3">
        <v>55</v>
      </c>
      <c r="C56" s="3" t="s">
        <v>232</v>
      </c>
    </row>
    <row r="57" spans="1:3" s="3" customFormat="1" x14ac:dyDescent="0.25">
      <c r="A57" s="3" t="s">
        <v>168</v>
      </c>
      <c r="B57" s="3">
        <v>56</v>
      </c>
      <c r="C57" s="3" t="s">
        <v>233</v>
      </c>
    </row>
    <row r="58" spans="1:3" s="3" customFormat="1" x14ac:dyDescent="0.25">
      <c r="A58" s="3" t="s">
        <v>168</v>
      </c>
      <c r="B58" s="3">
        <v>57</v>
      </c>
      <c r="C58" s="3" t="s">
        <v>234</v>
      </c>
    </row>
    <row r="59" spans="1:3" s="3" customFormat="1" x14ac:dyDescent="0.25">
      <c r="A59" s="3" t="s">
        <v>168</v>
      </c>
      <c r="B59" s="3">
        <v>58</v>
      </c>
      <c r="C59" s="3" t="s">
        <v>235</v>
      </c>
    </row>
    <row r="60" spans="1:3" s="3" customFormat="1" x14ac:dyDescent="0.25">
      <c r="A60" s="3" t="s">
        <v>168</v>
      </c>
      <c r="B60" s="3">
        <v>59</v>
      </c>
      <c r="C60" s="3" t="s">
        <v>236</v>
      </c>
    </row>
    <row r="61" spans="1:3" s="3" customFormat="1" x14ac:dyDescent="0.25">
      <c r="A61" s="3" t="s">
        <v>168</v>
      </c>
      <c r="B61" s="3">
        <v>60</v>
      </c>
      <c r="C61" s="3" t="s">
        <v>237</v>
      </c>
    </row>
    <row r="62" spans="1:3" s="3" customFormat="1" x14ac:dyDescent="0.25">
      <c r="A62" s="3" t="s">
        <v>168</v>
      </c>
      <c r="B62" s="3">
        <v>61</v>
      </c>
      <c r="C62" s="3" t="s">
        <v>238</v>
      </c>
    </row>
    <row r="63" spans="1:3" s="3" customFormat="1" x14ac:dyDescent="0.25">
      <c r="A63" s="3" t="s">
        <v>168</v>
      </c>
      <c r="B63" s="3">
        <v>62</v>
      </c>
      <c r="C63" s="3" t="s">
        <v>239</v>
      </c>
    </row>
    <row r="64" spans="1:3" s="3" customFormat="1" x14ac:dyDescent="0.25">
      <c r="A64" s="3" t="s">
        <v>168</v>
      </c>
      <c r="B64" s="3">
        <v>63</v>
      </c>
      <c r="C64" s="3" t="s">
        <v>240</v>
      </c>
    </row>
    <row r="65" spans="1:3" s="3" customFormat="1" x14ac:dyDescent="0.25">
      <c r="A65" s="3" t="s">
        <v>168</v>
      </c>
      <c r="B65" s="3">
        <v>64</v>
      </c>
      <c r="C65" s="3" t="s">
        <v>241</v>
      </c>
    </row>
    <row r="66" spans="1:3" s="3" customFormat="1" x14ac:dyDescent="0.25">
      <c r="A66" s="3" t="s">
        <v>168</v>
      </c>
      <c r="B66" s="3">
        <v>65</v>
      </c>
      <c r="C66" s="3" t="s">
        <v>242</v>
      </c>
    </row>
    <row r="67" spans="1:3" s="3" customFormat="1" x14ac:dyDescent="0.25">
      <c r="A67" s="3" t="s">
        <v>168</v>
      </c>
      <c r="B67" s="3">
        <v>66</v>
      </c>
      <c r="C67" s="3" t="s">
        <v>243</v>
      </c>
    </row>
  </sheetData>
  <autoFilter ref="A1:C6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</cols>
  <sheetData>
    <row r="1" ht="28" customHeight="1" spans="1:1" s="23" customFormat="1" x14ac:dyDescent="0.25">
      <c r="A1" s="23" t="s">
        <v>244</v>
      </c>
    </row>
    <row r="2" spans="1:1" s="3" customFormat="1" x14ac:dyDescent="0.25">
      <c r="A2" s="3" t="s">
        <v>170</v>
      </c>
    </row>
  </sheetData>
  <pageMargins left="0.7" right="0.7" top="0.75" bottom="0.75" header="0.3" footer="0.3"/>
  <pageSetup orientation="landscape" horizontalDpi="4294967295" verticalDpi="4294967295" scale="100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38" customWidth="1"/>
  </cols>
  <sheetData>
    <row r="1" ht="28" customHeight="1" spans="1:3" s="23" customFormat="1" x14ac:dyDescent="0.25">
      <c r="A1" s="23" t="s">
        <v>245</v>
      </c>
      <c r="B1" s="23" t="s">
        <v>246</v>
      </c>
      <c r="C1" s="23" t="s">
        <v>247</v>
      </c>
    </row>
    <row r="2" spans="1:3" s="3" customFormat="1" x14ac:dyDescent="0.25">
      <c r="A2" s="3" t="s">
        <v>248</v>
      </c>
      <c r="B2" s="3" t="s">
        <v>249</v>
      </c>
      <c r="C2" s="3" t="s">
        <v>250</v>
      </c>
    </row>
    <row r="3" spans="1:3" s="3" customFormat="1" x14ac:dyDescent="0.25">
      <c r="A3" s="3" t="s">
        <v>251</v>
      </c>
      <c r="B3" s="3" t="s">
        <v>252</v>
      </c>
      <c r="C3" s="3" t="s">
        <v>253</v>
      </c>
    </row>
    <row r="4" spans="1:3" s="3" customFormat="1" x14ac:dyDescent="0.25">
      <c r="A4" s="3" t="s">
        <v>30</v>
      </c>
      <c r="B4" s="3" t="s">
        <v>254</v>
      </c>
      <c r="C4" s="3" t="s">
        <v>253</v>
      </c>
    </row>
    <row r="5" spans="1:3" s="3" customFormat="1" x14ac:dyDescent="0.25">
      <c r="A5" s="3" t="s">
        <v>36</v>
      </c>
      <c r="B5" s="3" t="s">
        <v>255</v>
      </c>
      <c r="C5" s="3" t="s">
        <v>253</v>
      </c>
    </row>
    <row r="6" spans="1:3" s="3" customFormat="1" x14ac:dyDescent="0.25">
      <c r="A6" s="3" t="s">
        <v>30</v>
      </c>
      <c r="B6" s="3" t="s">
        <v>256</v>
      </c>
      <c r="C6" s="3" t="s">
        <v>253</v>
      </c>
    </row>
    <row r="7" spans="1:3" s="3" customFormat="1" x14ac:dyDescent="0.25">
      <c r="A7" s="3" t="s">
        <v>36</v>
      </c>
      <c r="B7" s="3" t="s">
        <v>257</v>
      </c>
      <c r="C7" s="3" t="s">
        <v>253</v>
      </c>
    </row>
    <row r="8" spans="1:3" s="3" customFormat="1" x14ac:dyDescent="0.25">
      <c r="A8" s="3" t="s">
        <v>258</v>
      </c>
      <c r="B8" s="3" t="s">
        <v>92</v>
      </c>
      <c r="C8" s="3" t="s">
        <v>259</v>
      </c>
    </row>
    <row r="9" spans="1:3" s="3" customFormat="1" x14ac:dyDescent="0.25">
      <c r="A9" s="3" t="s">
        <v>258</v>
      </c>
      <c r="B9" s="3" t="s">
        <v>92</v>
      </c>
      <c r="C9" s="3" t="s">
        <v>260</v>
      </c>
    </row>
    <row r="10" spans="1:3" s="3" customFormat="1" x14ac:dyDescent="0.25">
      <c r="A10" s="3" t="s">
        <v>258</v>
      </c>
      <c r="B10" s="3" t="s">
        <v>92</v>
      </c>
      <c r="C10" s="3" t="s">
        <v>261</v>
      </c>
    </row>
    <row r="11" spans="1:3" s="3" customFormat="1" x14ac:dyDescent="0.25">
      <c r="A11" s="3" t="s">
        <v>262</v>
      </c>
      <c r="B11" s="3" t="s">
        <v>263</v>
      </c>
      <c r="C11" s="3" t="s">
        <v>264</v>
      </c>
    </row>
    <row r="12" spans="1:3" s="3" customFormat="1" x14ac:dyDescent="0.25">
      <c r="A12" s="3" t="s">
        <v>262</v>
      </c>
      <c r="B12" s="3" t="s">
        <v>263</v>
      </c>
      <c r="C12" s="3" t="s">
        <v>265</v>
      </c>
    </row>
    <row r="13" spans="1:3" s="3" customFormat="1" x14ac:dyDescent="0.25">
      <c r="A13" s="3" t="s">
        <v>262</v>
      </c>
      <c r="B13" s="3" t="s">
        <v>263</v>
      </c>
      <c r="C13" s="3" t="s">
        <v>266</v>
      </c>
    </row>
    <row r="14" spans="1:3" s="3" customFormat="1" x14ac:dyDescent="0.25">
      <c r="A14" s="3" t="s">
        <v>267</v>
      </c>
      <c r="B14" s="3" t="s">
        <v>268</v>
      </c>
      <c r="C14" s="3" t="s">
        <v>253</v>
      </c>
    </row>
    <row r="15" spans="1:3" s="3" customFormat="1" x14ac:dyDescent="0.25">
      <c r="A15" s="3" t="s">
        <v>267</v>
      </c>
      <c r="B15" s="3" t="s">
        <v>269</v>
      </c>
      <c r="C15" s="3" t="s">
        <v>253</v>
      </c>
    </row>
    <row r="16" spans="1:3" s="3" customFormat="1" x14ac:dyDescent="0.25">
      <c r="A16" s="3" t="s">
        <v>267</v>
      </c>
      <c r="B16" s="3" t="s">
        <v>270</v>
      </c>
      <c r="C16" s="3" t="s">
        <v>253</v>
      </c>
    </row>
  </sheetData>
  <autoFilter ref="A1:C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2" customWidth="1"/>
    <col min="3" max="6" width="16" customWidth="1"/>
    <col min="7" max="8" width="45" customWidth="1"/>
  </cols>
  <sheetData>
    <row r="1" ht="28" customHeight="1" spans="1:8" s="23" customFormat="1" x14ac:dyDescent="0.25">
      <c r="A1" s="23" t="s">
        <v>115</v>
      </c>
      <c r="B1" s="23" t="s">
        <v>271</v>
      </c>
      <c r="C1" s="23" t="s">
        <v>272</v>
      </c>
      <c r="D1" s="23" t="s">
        <v>273</v>
      </c>
      <c r="E1" s="23" t="s">
        <v>274</v>
      </c>
      <c r="F1" s="23" t="s">
        <v>275</v>
      </c>
      <c r="G1" s="23" t="s">
        <v>122</v>
      </c>
      <c r="H1" s="23" t="s">
        <v>276</v>
      </c>
    </row>
    <row r="2" spans="1:8" s="3" customFormat="1" x14ac:dyDescent="0.25">
      <c r="A2" s="3" t="s">
        <v>168</v>
      </c>
      <c r="B2" s="3" t="s">
        <v>277</v>
      </c>
      <c r="C2" s="3" t="s">
        <v>278</v>
      </c>
      <c r="D2" s="3"/>
      <c r="E2" s="3">
        <v>5</v>
      </c>
      <c r="F2" s="3" t="s">
        <v>279</v>
      </c>
      <c r="G2" s="3" t="s">
        <v>280</v>
      </c>
      <c r="H2" s="3" t="s">
        <v>281</v>
      </c>
    </row>
    <row r="3" spans="1:8" s="3" customFormat="1" x14ac:dyDescent="0.25">
      <c r="A3" s="3" t="s">
        <v>168</v>
      </c>
      <c r="B3" s="3" t="s">
        <v>277</v>
      </c>
      <c r="C3" s="3" t="s">
        <v>278</v>
      </c>
      <c r="D3" s="3"/>
      <c r="E3" s="3">
        <v>6</v>
      </c>
      <c r="F3" s="3" t="s">
        <v>279</v>
      </c>
      <c r="G3" s="3" t="s">
        <v>282</v>
      </c>
      <c r="H3" s="3" t="s">
        <v>283</v>
      </c>
    </row>
    <row r="4" spans="1:8" s="3" customFormat="1" x14ac:dyDescent="0.25">
      <c r="A4" s="3" t="s">
        <v>168</v>
      </c>
      <c r="B4" s="3" t="s">
        <v>277</v>
      </c>
      <c r="C4" s="3" t="s">
        <v>278</v>
      </c>
      <c r="D4" s="3"/>
      <c r="E4" s="3">
        <v>7</v>
      </c>
      <c r="F4" s="3" t="s">
        <v>279</v>
      </c>
      <c r="G4" s="3" t="s">
        <v>284</v>
      </c>
      <c r="H4" s="3" t="s">
        <v>285</v>
      </c>
    </row>
  </sheetData>
  <autoFilter ref="A1:H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23" customFormat="1" x14ac:dyDescent="0.25">
      <c r="A1" s="23" t="s">
        <v>68</v>
      </c>
      <c r="B1" s="23" t="s">
        <v>105</v>
      </c>
      <c r="C1" s="23" t="s">
        <v>80</v>
      </c>
      <c r="D1" s="23" t="s">
        <v>78</v>
      </c>
      <c r="E1" s="23" t="s">
        <v>79</v>
      </c>
      <c r="F1" s="23" t="s">
        <v>115</v>
      </c>
      <c r="G1" s="23" t="s">
        <v>286</v>
      </c>
      <c r="H1" s="23" t="s">
        <v>272</v>
      </c>
      <c r="I1" s="23" t="s">
        <v>274</v>
      </c>
      <c r="J1" s="23" t="s">
        <v>273</v>
      </c>
      <c r="K1" s="23" t="s">
        <v>116</v>
      </c>
      <c r="L1" s="23" t="s">
        <v>287</v>
      </c>
      <c r="M1" s="23" t="s">
        <v>288</v>
      </c>
      <c r="N1" s="23" t="s">
        <v>289</v>
      </c>
      <c r="O1" s="23" t="s">
        <v>290</v>
      </c>
      <c r="P1" s="23" t="s">
        <v>291</v>
      </c>
      <c r="Q1" s="23" t="s">
        <v>292</v>
      </c>
      <c r="R1" s="23" t="s">
        <v>8</v>
      </c>
      <c r="S1" s="24" t="s">
        <v>121</v>
      </c>
      <c r="T1" s="23" t="s">
        <v>123</v>
      </c>
      <c r="U1" s="23" t="s">
        <v>293</v>
      </c>
      <c r="V1" s="23" t="s">
        <v>294</v>
      </c>
      <c r="W1" s="23" t="s">
        <v>295</v>
      </c>
      <c r="X1" s="23" t="s">
        <v>296</v>
      </c>
      <c r="Y1" s="23" t="s">
        <v>297</v>
      </c>
      <c r="Z1" s="23" t="s">
        <v>298</v>
      </c>
      <c r="AA1" s="23" t="s">
        <v>117</v>
      </c>
      <c r="AB1" s="23" t="s">
        <v>299</v>
      </c>
      <c r="AC1" s="23" t="s">
        <v>300</v>
      </c>
      <c r="AD1" s="23" t="s">
        <v>301</v>
      </c>
      <c r="AE1" s="23" t="s">
        <v>302</v>
      </c>
    </row>
    <row r="2" spans="1:31" s="3" customFormat="1" x14ac:dyDescent="0.25">
      <c r="A2" s="3" t="s">
        <v>87</v>
      </c>
      <c r="B2" s="3" t="s">
        <v>258</v>
      </c>
      <c r="C2" s="3" t="s">
        <v>93</v>
      </c>
      <c r="D2" s="3" t="s">
        <v>91</v>
      </c>
      <c r="E2" s="3" t="s">
        <v>92</v>
      </c>
      <c r="F2" s="3" t="s">
        <v>168</v>
      </c>
      <c r="G2" s="3" t="s">
        <v>303</v>
      </c>
      <c r="H2" s="3" t="s">
        <v>278</v>
      </c>
      <c r="I2" s="3">
        <v>2</v>
      </c>
      <c r="J2" s="3" t="s">
        <v>253</v>
      </c>
      <c r="K2" s="4">
        <v>46204</v>
      </c>
      <c r="L2" s="3" t="s">
        <v>89</v>
      </c>
      <c r="M2" s="3" t="s">
        <v>253</v>
      </c>
      <c r="N2" s="3" t="s">
        <v>253</v>
      </c>
      <c r="O2" s="3" t="s">
        <v>253</v>
      </c>
      <c r="P2" s="3" t="s">
        <v>253</v>
      </c>
      <c r="Q2" s="3" t="s">
        <v>253</v>
      </c>
      <c r="R2" s="3" t="s">
        <v>9</v>
      </c>
      <c r="S2" s="19">
        <v>1000</v>
      </c>
      <c r="T2" s="3" t="s">
        <v>95</v>
      </c>
      <c r="U2" s="3" t="s">
        <v>253</v>
      </c>
      <c r="V2" s="3" t="s">
        <v>253</v>
      </c>
      <c r="W2" s="3" t="s">
        <v>253</v>
      </c>
      <c r="X2" s="3" t="s">
        <v>253</v>
      </c>
      <c r="Y2" s="3" t="s">
        <v>253</v>
      </c>
      <c r="Z2" s="3" t="s">
        <v>253</v>
      </c>
      <c r="AA2" s="3" t="s">
        <v>127</v>
      </c>
      <c r="AB2" s="3" t="s">
        <v>253</v>
      </c>
      <c r="AC2" s="3" t="s">
        <v>253</v>
      </c>
      <c r="AD2" s="3" t="s">
        <v>253</v>
      </c>
      <c r="AE2" s="3" t="s">
        <v>304</v>
      </c>
    </row>
    <row r="3" spans="1:31" s="3" customFormat="1" x14ac:dyDescent="0.25">
      <c r="A3" s="3" t="s">
        <v>87</v>
      </c>
      <c r="B3" s="3" t="s">
        <v>258</v>
      </c>
      <c r="C3" s="3" t="s">
        <v>93</v>
      </c>
      <c r="D3" s="3" t="s">
        <v>91</v>
      </c>
      <c r="E3" s="3" t="s">
        <v>92</v>
      </c>
      <c r="F3" s="3" t="s">
        <v>126</v>
      </c>
      <c r="G3" s="3" t="s">
        <v>305</v>
      </c>
      <c r="H3" s="3" t="s">
        <v>16</v>
      </c>
      <c r="I3" s="3">
        <v>2</v>
      </c>
      <c r="J3" s="3" t="s">
        <v>253</v>
      </c>
      <c r="K3" s="4">
        <v>46204</v>
      </c>
      <c r="L3" s="3" t="s">
        <v>89</v>
      </c>
      <c r="M3" s="3" t="s">
        <v>253</v>
      </c>
      <c r="N3" s="3" t="s">
        <v>253</v>
      </c>
      <c r="O3" s="3" t="s">
        <v>253</v>
      </c>
      <c r="P3" s="3" t="s">
        <v>253</v>
      </c>
      <c r="Q3" s="3" t="s">
        <v>253</v>
      </c>
      <c r="R3" s="3" t="s">
        <v>9</v>
      </c>
      <c r="S3" s="19">
        <v>1000</v>
      </c>
      <c r="T3" s="3" t="s">
        <v>96</v>
      </c>
      <c r="U3" s="3" t="s">
        <v>253</v>
      </c>
      <c r="V3" s="3" t="s">
        <v>253</v>
      </c>
      <c r="W3" s="3" t="s">
        <v>253</v>
      </c>
      <c r="X3" s="3" t="s">
        <v>253</v>
      </c>
      <c r="Y3" s="3" t="s">
        <v>253</v>
      </c>
      <c r="Z3" s="3" t="s">
        <v>253</v>
      </c>
      <c r="AA3" s="3" t="s">
        <v>127</v>
      </c>
      <c r="AB3" s="3" t="s">
        <v>253</v>
      </c>
      <c r="AC3" s="3" t="s">
        <v>253</v>
      </c>
      <c r="AD3" s="3" t="s">
        <v>253</v>
      </c>
      <c r="AE3" s="3" t="s">
        <v>304</v>
      </c>
    </row>
    <row r="4" spans="1:31" s="3" customFormat="1" x14ac:dyDescent="0.25">
      <c r="A4" s="3" t="s">
        <v>97</v>
      </c>
      <c r="B4" s="3" t="s">
        <v>258</v>
      </c>
      <c r="C4" s="3" t="s">
        <v>93</v>
      </c>
      <c r="D4" s="3" t="s">
        <v>91</v>
      </c>
      <c r="E4" s="3" t="s">
        <v>92</v>
      </c>
      <c r="F4" s="3" t="s">
        <v>168</v>
      </c>
      <c r="G4" s="3" t="s">
        <v>306</v>
      </c>
      <c r="H4" s="3" t="s">
        <v>278</v>
      </c>
      <c r="I4" s="3">
        <v>3</v>
      </c>
      <c r="J4" s="3" t="s">
        <v>253</v>
      </c>
      <c r="K4" s="4">
        <v>46205</v>
      </c>
      <c r="L4" s="3" t="s">
        <v>98</v>
      </c>
      <c r="M4" s="3" t="s">
        <v>253</v>
      </c>
      <c r="N4" s="3" t="s">
        <v>253</v>
      </c>
      <c r="O4" s="3" t="s">
        <v>253</v>
      </c>
      <c r="P4" s="3" t="s">
        <v>253</v>
      </c>
      <c r="Q4" s="3" t="s">
        <v>253</v>
      </c>
      <c r="R4" s="3" t="s">
        <v>9</v>
      </c>
      <c r="S4" s="19">
        <v>-250</v>
      </c>
      <c r="T4" s="3" t="s">
        <v>99</v>
      </c>
      <c r="U4" s="3" t="s">
        <v>253</v>
      </c>
      <c r="V4" s="3" t="s">
        <v>253</v>
      </c>
      <c r="W4" s="3" t="s">
        <v>253</v>
      </c>
      <c r="X4" s="3" t="s">
        <v>253</v>
      </c>
      <c r="Y4" s="3" t="s">
        <v>253</v>
      </c>
      <c r="Z4" s="3" t="s">
        <v>253</v>
      </c>
      <c r="AA4" s="3" t="s">
        <v>127</v>
      </c>
      <c r="AB4" s="3" t="s">
        <v>253</v>
      </c>
      <c r="AC4" s="3" t="s">
        <v>253</v>
      </c>
      <c r="AD4" s="3" t="s">
        <v>253</v>
      </c>
      <c r="AE4" s="3" t="s">
        <v>304</v>
      </c>
    </row>
    <row r="5" spans="1:31" s="3" customFormat="1" x14ac:dyDescent="0.25">
      <c r="A5" s="3" t="s">
        <v>97</v>
      </c>
      <c r="B5" s="3" t="s">
        <v>258</v>
      </c>
      <c r="C5" s="3" t="s">
        <v>93</v>
      </c>
      <c r="D5" s="3" t="s">
        <v>91</v>
      </c>
      <c r="E5" s="3" t="s">
        <v>92</v>
      </c>
      <c r="F5" s="3" t="s">
        <v>126</v>
      </c>
      <c r="G5" s="3" t="s">
        <v>307</v>
      </c>
      <c r="H5" s="3" t="s">
        <v>16</v>
      </c>
      <c r="I5" s="3">
        <v>3</v>
      </c>
      <c r="J5" s="3" t="s">
        <v>253</v>
      </c>
      <c r="K5" s="4">
        <v>46205</v>
      </c>
      <c r="L5" s="3" t="s">
        <v>98</v>
      </c>
      <c r="M5" s="3" t="s">
        <v>253</v>
      </c>
      <c r="N5" s="3" t="s">
        <v>253</v>
      </c>
      <c r="O5" s="3" t="s">
        <v>253</v>
      </c>
      <c r="P5" s="3" t="s">
        <v>253</v>
      </c>
      <c r="Q5" s="3" t="s">
        <v>253</v>
      </c>
      <c r="R5" s="3" t="s">
        <v>9</v>
      </c>
      <c r="S5" s="19">
        <v>-250</v>
      </c>
      <c r="T5" s="3" t="s">
        <v>100</v>
      </c>
      <c r="U5" s="3" t="s">
        <v>253</v>
      </c>
      <c r="V5" s="3" t="s">
        <v>253</v>
      </c>
      <c r="W5" s="3" t="s">
        <v>253</v>
      </c>
      <c r="X5" s="3" t="s">
        <v>253</v>
      </c>
      <c r="Y5" s="3" t="s">
        <v>253</v>
      </c>
      <c r="Z5" s="3" t="s">
        <v>253</v>
      </c>
      <c r="AA5" s="3" t="s">
        <v>127</v>
      </c>
      <c r="AB5" s="3" t="s">
        <v>253</v>
      </c>
      <c r="AC5" s="3" t="s">
        <v>253</v>
      </c>
      <c r="AD5" s="3" t="s">
        <v>253</v>
      </c>
      <c r="AE5" s="3" t="s">
        <v>304</v>
      </c>
    </row>
    <row r="6" spans="1:31" s="3" customFormat="1" x14ac:dyDescent="0.25">
      <c r="A6" s="3" t="s">
        <v>101</v>
      </c>
      <c r="B6" s="3" t="s">
        <v>258</v>
      </c>
      <c r="C6" s="3" t="s">
        <v>93</v>
      </c>
      <c r="D6" s="3" t="s">
        <v>91</v>
      </c>
      <c r="E6" s="3" t="s">
        <v>92</v>
      </c>
      <c r="F6" s="3" t="s">
        <v>168</v>
      </c>
      <c r="G6" s="3" t="s">
        <v>308</v>
      </c>
      <c r="H6" s="3" t="s">
        <v>278</v>
      </c>
      <c r="I6" s="3">
        <v>4</v>
      </c>
      <c r="J6" s="3" t="s">
        <v>253</v>
      </c>
      <c r="K6" s="4">
        <v>46206</v>
      </c>
      <c r="L6" s="3" t="s">
        <v>102</v>
      </c>
      <c r="M6" s="3" t="s">
        <v>253</v>
      </c>
      <c r="N6" s="3" t="s">
        <v>253</v>
      </c>
      <c r="O6" s="3" t="s">
        <v>253</v>
      </c>
      <c r="P6" s="3" t="s">
        <v>253</v>
      </c>
      <c r="Q6" s="3" t="s">
        <v>253</v>
      </c>
      <c r="R6" s="3" t="s">
        <v>9</v>
      </c>
      <c r="S6" s="19">
        <v>-125</v>
      </c>
      <c r="T6" s="3" t="s">
        <v>103</v>
      </c>
      <c r="U6" s="3" t="s">
        <v>253</v>
      </c>
      <c r="V6" s="3" t="s">
        <v>253</v>
      </c>
      <c r="W6" s="3" t="s">
        <v>253</v>
      </c>
      <c r="X6" s="3" t="s">
        <v>253</v>
      </c>
      <c r="Y6" s="3" t="s">
        <v>253</v>
      </c>
      <c r="Z6" s="3" t="s">
        <v>253</v>
      </c>
      <c r="AA6" s="3" t="s">
        <v>127</v>
      </c>
      <c r="AB6" s="3" t="s">
        <v>253</v>
      </c>
      <c r="AC6" s="3" t="s">
        <v>253</v>
      </c>
      <c r="AD6" s="3" t="s">
        <v>253</v>
      </c>
      <c r="AE6" s="3" t="s">
        <v>304</v>
      </c>
    </row>
    <row r="7" spans="1:31" s="3" customFormat="1" x14ac:dyDescent="0.25">
      <c r="A7" s="3" t="s">
        <v>101</v>
      </c>
      <c r="B7" s="3" t="s">
        <v>258</v>
      </c>
      <c r="C7" s="3" t="s">
        <v>93</v>
      </c>
      <c r="D7" s="3" t="s">
        <v>91</v>
      </c>
      <c r="E7" s="3" t="s">
        <v>92</v>
      </c>
      <c r="F7" s="3" t="s">
        <v>126</v>
      </c>
      <c r="G7" s="3" t="s">
        <v>309</v>
      </c>
      <c r="H7" s="3" t="s">
        <v>16</v>
      </c>
      <c r="I7" s="3">
        <v>4</v>
      </c>
      <c r="J7" s="3" t="s">
        <v>253</v>
      </c>
      <c r="K7" s="4">
        <v>46206</v>
      </c>
      <c r="L7" s="3" t="s">
        <v>102</v>
      </c>
      <c r="M7" s="3" t="s">
        <v>253</v>
      </c>
      <c r="N7" s="3" t="s">
        <v>253</v>
      </c>
      <c r="O7" s="3" t="s">
        <v>253</v>
      </c>
      <c r="P7" s="3" t="s">
        <v>253</v>
      </c>
      <c r="Q7" s="3" t="s">
        <v>253</v>
      </c>
      <c r="R7" s="3" t="s">
        <v>9</v>
      </c>
      <c r="S7" s="19">
        <v>-125</v>
      </c>
      <c r="T7" s="3" t="s">
        <v>104</v>
      </c>
      <c r="U7" s="3" t="s">
        <v>253</v>
      </c>
      <c r="V7" s="3" t="s">
        <v>253</v>
      </c>
      <c r="W7" s="3" t="s">
        <v>253</v>
      </c>
      <c r="X7" s="3" t="s">
        <v>253</v>
      </c>
      <c r="Y7" s="3" t="s">
        <v>253</v>
      </c>
      <c r="Z7" s="3" t="s">
        <v>253</v>
      </c>
      <c r="AA7" s="3" t="s">
        <v>127</v>
      </c>
      <c r="AB7" s="3" t="s">
        <v>253</v>
      </c>
      <c r="AC7" s="3" t="s">
        <v>253</v>
      </c>
      <c r="AD7" s="3" t="s">
        <v>253</v>
      </c>
      <c r="AE7" s="3" t="s">
        <v>304</v>
      </c>
    </row>
    <row r="8" spans="1:31" s="3" customFormat="1" x14ac:dyDescent="0.25">
      <c r="A8" s="3" t="s">
        <v>125</v>
      </c>
      <c r="B8" s="3" t="s">
        <v>143</v>
      </c>
      <c r="C8" s="3" t="s">
        <v>144</v>
      </c>
      <c r="D8" s="3" t="s">
        <v>310</v>
      </c>
      <c r="E8" s="3" t="s">
        <v>129</v>
      </c>
      <c r="F8" s="3" t="s">
        <v>126</v>
      </c>
      <c r="G8" s="3" t="s">
        <v>264</v>
      </c>
      <c r="H8" s="3" t="s">
        <v>16</v>
      </c>
      <c r="I8" s="3">
        <v>5</v>
      </c>
      <c r="J8" s="3" t="s">
        <v>253</v>
      </c>
      <c r="K8" s="4">
        <v>46207</v>
      </c>
      <c r="L8" s="3" t="s">
        <v>128</v>
      </c>
      <c r="M8" s="3" t="s">
        <v>253</v>
      </c>
      <c r="N8" s="3" t="s">
        <v>253</v>
      </c>
      <c r="O8" s="3" t="s">
        <v>253</v>
      </c>
      <c r="P8" s="3" t="s">
        <v>253</v>
      </c>
      <c r="Q8" s="3" t="s">
        <v>253</v>
      </c>
      <c r="R8" s="3" t="s">
        <v>9</v>
      </c>
      <c r="S8" s="19">
        <v>80</v>
      </c>
      <c r="T8" s="3" t="s">
        <v>130</v>
      </c>
      <c r="U8" s="3" t="s">
        <v>253</v>
      </c>
      <c r="V8" s="3" t="s">
        <v>253</v>
      </c>
      <c r="W8" s="3" t="s">
        <v>253</v>
      </c>
      <c r="X8" s="3" t="s">
        <v>253</v>
      </c>
      <c r="Y8" s="3" t="s">
        <v>253</v>
      </c>
      <c r="Z8" s="3" t="s">
        <v>253</v>
      </c>
      <c r="AA8" s="3" t="s">
        <v>127</v>
      </c>
      <c r="AB8" s="3" t="s">
        <v>253</v>
      </c>
      <c r="AC8" s="3" t="s">
        <v>253</v>
      </c>
      <c r="AD8" s="3" t="s">
        <v>253</v>
      </c>
      <c r="AE8" s="3" t="s">
        <v>304</v>
      </c>
    </row>
    <row r="9" spans="1:31" s="3" customFormat="1" x14ac:dyDescent="0.25">
      <c r="A9" s="3" t="s">
        <v>131</v>
      </c>
      <c r="B9" s="3" t="s">
        <v>143</v>
      </c>
      <c r="C9" s="3" t="s">
        <v>144</v>
      </c>
      <c r="D9" s="3" t="s">
        <v>310</v>
      </c>
      <c r="E9" s="3" t="s">
        <v>133</v>
      </c>
      <c r="F9" s="3" t="s">
        <v>126</v>
      </c>
      <c r="G9" s="3" t="s">
        <v>265</v>
      </c>
      <c r="H9" s="3" t="s">
        <v>16</v>
      </c>
      <c r="I9" s="3">
        <v>6</v>
      </c>
      <c r="J9" s="3" t="s">
        <v>253</v>
      </c>
      <c r="K9" s="4">
        <v>46208</v>
      </c>
      <c r="L9" s="3" t="s">
        <v>132</v>
      </c>
      <c r="M9" s="3" t="s">
        <v>253</v>
      </c>
      <c r="N9" s="3" t="s">
        <v>253</v>
      </c>
      <c r="O9" s="3" t="s">
        <v>253</v>
      </c>
      <c r="P9" s="3" t="s">
        <v>253</v>
      </c>
      <c r="Q9" s="3" t="s">
        <v>253</v>
      </c>
      <c r="R9" s="3" t="s">
        <v>9</v>
      </c>
      <c r="S9" s="19">
        <v>-90</v>
      </c>
      <c r="T9" s="3" t="s">
        <v>134</v>
      </c>
      <c r="U9" s="3" t="s">
        <v>253</v>
      </c>
      <c r="V9" s="3" t="s">
        <v>253</v>
      </c>
      <c r="W9" s="3" t="s">
        <v>253</v>
      </c>
      <c r="X9" s="3" t="s">
        <v>253</v>
      </c>
      <c r="Y9" s="3" t="s">
        <v>253</v>
      </c>
      <c r="Z9" s="3" t="s">
        <v>253</v>
      </c>
      <c r="AA9" s="3" t="s">
        <v>127</v>
      </c>
      <c r="AB9" s="3" t="s">
        <v>253</v>
      </c>
      <c r="AC9" s="3" t="s">
        <v>253</v>
      </c>
      <c r="AD9" s="3" t="s">
        <v>253</v>
      </c>
      <c r="AE9" s="3" t="s">
        <v>304</v>
      </c>
    </row>
    <row r="10" spans="1:31" s="3" customFormat="1" x14ac:dyDescent="0.25">
      <c r="A10" s="3" t="s">
        <v>135</v>
      </c>
      <c r="B10" s="3" t="s">
        <v>143</v>
      </c>
      <c r="C10" s="3" t="s">
        <v>144</v>
      </c>
      <c r="D10" s="3" t="s">
        <v>310</v>
      </c>
      <c r="E10" s="3" t="s">
        <v>137</v>
      </c>
      <c r="F10" s="3" t="s">
        <v>126</v>
      </c>
      <c r="G10" s="3" t="s">
        <v>266</v>
      </c>
      <c r="H10" s="3" t="s">
        <v>16</v>
      </c>
      <c r="I10" s="3">
        <v>7</v>
      </c>
      <c r="J10" s="3" t="s">
        <v>253</v>
      </c>
      <c r="K10" s="4">
        <v>46209</v>
      </c>
      <c r="L10" s="3" t="s">
        <v>136</v>
      </c>
      <c r="M10" s="3" t="s">
        <v>253</v>
      </c>
      <c r="N10" s="3" t="s">
        <v>253</v>
      </c>
      <c r="O10" s="3" t="s">
        <v>253</v>
      </c>
      <c r="P10" s="3" t="s">
        <v>253</v>
      </c>
      <c r="Q10" s="3" t="s">
        <v>253</v>
      </c>
      <c r="R10" s="3" t="s">
        <v>9</v>
      </c>
      <c r="S10" s="19">
        <v>-50</v>
      </c>
      <c r="T10" s="3" t="s">
        <v>138</v>
      </c>
      <c r="U10" s="3" t="s">
        <v>253</v>
      </c>
      <c r="V10" s="3" t="s">
        <v>253</v>
      </c>
      <c r="W10" s="3" t="s">
        <v>253</v>
      </c>
      <c r="X10" s="3" t="s">
        <v>253</v>
      </c>
      <c r="Y10" s="3" t="s">
        <v>253</v>
      </c>
      <c r="Z10" s="3" t="s">
        <v>253</v>
      </c>
      <c r="AA10" s="3" t="s">
        <v>127</v>
      </c>
      <c r="AB10" s="3" t="s">
        <v>253</v>
      </c>
      <c r="AC10" s="3" t="s">
        <v>253</v>
      </c>
      <c r="AD10" s="3" t="s">
        <v>253</v>
      </c>
      <c r="AE10" s="3" t="s">
        <v>304</v>
      </c>
    </row>
  </sheetData>
  <autoFilter ref="A1:AE10"/>
  <hyperlinks>
    <hyperlink ref="T2" r:id="rId1" location="#'Parsed Supplier Source'!A3"/>
    <hyperlink ref="T3" r:id="rId2" location="#'Parsed Ledger Source'!A3"/>
    <hyperlink ref="T4" r:id="rId3" location="#'Parsed Supplier Source'!A4"/>
    <hyperlink ref="T5" r:id="rId4" location="#'Parsed Ledger Source'!A4"/>
    <hyperlink ref="T6" r:id="rId5" location="#'Parsed Supplier Source'!A5"/>
    <hyperlink ref="T7" r:id="rId6" location="#'Parsed Ledger Source'!A5"/>
    <hyperlink ref="T8" r:id="rId7" location="#'Parsed Ledger Source'!A6"/>
    <hyperlink ref="T9" r:id="rId8" location="#'Parsed Ledger Source'!A7"/>
    <hyperlink ref="T10" r:id="rId9" location="#'Parsed Ledg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23" customFormat="1" x14ac:dyDescent="0.25">
      <c r="A1" s="23" t="s">
        <v>311</v>
      </c>
      <c r="B1" s="23" t="s">
        <v>312</v>
      </c>
      <c r="C1" s="23" t="s">
        <v>313</v>
      </c>
      <c r="D1" s="23" t="s">
        <v>114</v>
      </c>
    </row>
    <row r="2" spans="1:4" s="3" customFormat="1" x14ac:dyDescent="0.25">
      <c r="A2" s="4">
        <v>46300.88699791666</v>
      </c>
      <c r="B2" s="3" t="s">
        <v>314</v>
      </c>
      <c r="C2" s="3" t="s">
        <v>253</v>
      </c>
      <c r="D2" s="3" t="s">
        <v>315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316</v>
      </c>
      <c r="B1" s="23" t="s">
        <v>317</v>
      </c>
      <c r="C1" s="23" t="s">
        <v>318</v>
      </c>
      <c r="D1" s="23" t="s">
        <v>319</v>
      </c>
      <c r="E1" s="23" t="s">
        <v>320</v>
      </c>
      <c r="F1" s="23" t="s">
        <v>321</v>
      </c>
      <c r="G1" s="23" t="s">
        <v>322</v>
      </c>
      <c r="H1" s="24" t="s">
        <v>323</v>
      </c>
      <c r="I1" s="23" t="s">
        <v>324</v>
      </c>
      <c r="J1" s="23" t="s">
        <v>325</v>
      </c>
    </row>
    <row r="2" spans="1:10" s="3" customFormat="1" x14ac:dyDescent="0.25">
      <c r="A2" s="3" t="s">
        <v>303</v>
      </c>
      <c r="B2" s="3" t="s">
        <v>278</v>
      </c>
      <c r="C2" s="3">
        <v>2</v>
      </c>
      <c r="D2" s="4">
        <v>46204</v>
      </c>
      <c r="E2" s="3" t="s">
        <v>89</v>
      </c>
      <c r="F2" s="3" t="s">
        <v>326</v>
      </c>
      <c r="G2" s="3" t="s">
        <v>253</v>
      </c>
      <c r="H2" s="19">
        <v>1000</v>
      </c>
      <c r="I2" s="3" t="s">
        <v>327</v>
      </c>
      <c r="J2" s="3" t="s">
        <v>253</v>
      </c>
    </row>
    <row r="3" spans="1:10" s="3" customFormat="1" x14ac:dyDescent="0.25">
      <c r="A3" s="3" t="s">
        <v>306</v>
      </c>
      <c r="B3" s="3" t="s">
        <v>278</v>
      </c>
      <c r="C3" s="3">
        <v>3</v>
      </c>
      <c r="D3" s="4">
        <v>46205</v>
      </c>
      <c r="E3" s="3" t="s">
        <v>98</v>
      </c>
      <c r="F3" s="3" t="s">
        <v>328</v>
      </c>
      <c r="G3" s="3" t="s">
        <v>253</v>
      </c>
      <c r="H3" s="19">
        <v>-250</v>
      </c>
      <c r="I3" s="3" t="s">
        <v>329</v>
      </c>
      <c r="J3" s="3" t="s">
        <v>253</v>
      </c>
    </row>
    <row r="4" spans="1:10" s="3" customFormat="1" x14ac:dyDescent="0.25">
      <c r="A4" s="3" t="s">
        <v>308</v>
      </c>
      <c r="B4" s="3" t="s">
        <v>278</v>
      </c>
      <c r="C4" s="3">
        <v>4</v>
      </c>
      <c r="D4" s="4">
        <v>46206</v>
      </c>
      <c r="E4" s="3" t="s">
        <v>102</v>
      </c>
      <c r="F4" s="3" t="s">
        <v>330</v>
      </c>
      <c r="G4" s="3" t="s">
        <v>253</v>
      </c>
      <c r="H4" s="19">
        <v>-125</v>
      </c>
      <c r="I4" s="3" t="s">
        <v>331</v>
      </c>
      <c r="J4" s="3" t="s">
        <v>253</v>
      </c>
    </row>
  </sheetData>
  <autoFilter ref="A1:J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316</v>
      </c>
      <c r="B1" s="23" t="s">
        <v>317</v>
      </c>
      <c r="C1" s="23" t="s">
        <v>318</v>
      </c>
      <c r="D1" s="23" t="s">
        <v>319</v>
      </c>
      <c r="E1" s="23" t="s">
        <v>320</v>
      </c>
      <c r="F1" s="23" t="s">
        <v>321</v>
      </c>
      <c r="G1" s="23" t="s">
        <v>322</v>
      </c>
      <c r="H1" s="24" t="s">
        <v>323</v>
      </c>
      <c r="I1" s="23" t="s">
        <v>324</v>
      </c>
      <c r="J1" s="23" t="s">
        <v>325</v>
      </c>
    </row>
    <row r="2" spans="1:10" s="3" customFormat="1" x14ac:dyDescent="0.25">
      <c r="A2" s="3" t="s">
        <v>305</v>
      </c>
      <c r="B2" s="3" t="s">
        <v>16</v>
      </c>
      <c r="C2" s="3">
        <v>2</v>
      </c>
      <c r="D2" s="4">
        <v>46204</v>
      </c>
      <c r="E2" s="3" t="s">
        <v>89</v>
      </c>
      <c r="F2" s="3" t="s">
        <v>326</v>
      </c>
      <c r="G2" s="3" t="s">
        <v>253</v>
      </c>
      <c r="H2" s="19">
        <v>1000</v>
      </c>
      <c r="I2" s="3" t="s">
        <v>332</v>
      </c>
      <c r="J2" s="3" t="s">
        <v>253</v>
      </c>
    </row>
    <row r="3" spans="1:10" s="3" customFormat="1" x14ac:dyDescent="0.25">
      <c r="A3" s="3" t="s">
        <v>307</v>
      </c>
      <c r="B3" s="3" t="s">
        <v>16</v>
      </c>
      <c r="C3" s="3">
        <v>3</v>
      </c>
      <c r="D3" s="4">
        <v>46205</v>
      </c>
      <c r="E3" s="3" t="s">
        <v>98</v>
      </c>
      <c r="F3" s="3" t="s">
        <v>328</v>
      </c>
      <c r="G3" s="3" t="s">
        <v>253</v>
      </c>
      <c r="H3" s="19">
        <v>-250</v>
      </c>
      <c r="I3" s="3" t="s">
        <v>333</v>
      </c>
      <c r="J3" s="3" t="s">
        <v>253</v>
      </c>
    </row>
    <row r="4" spans="1:10" s="3" customFormat="1" x14ac:dyDescent="0.25">
      <c r="A4" s="3" t="s">
        <v>309</v>
      </c>
      <c r="B4" s="3" t="s">
        <v>16</v>
      </c>
      <c r="C4" s="3">
        <v>4</v>
      </c>
      <c r="D4" s="4">
        <v>46206</v>
      </c>
      <c r="E4" s="3" t="s">
        <v>102</v>
      </c>
      <c r="F4" s="3" t="s">
        <v>330</v>
      </c>
      <c r="G4" s="3" t="s">
        <v>253</v>
      </c>
      <c r="H4" s="19">
        <v>-125</v>
      </c>
      <c r="I4" s="3" t="s">
        <v>334</v>
      </c>
      <c r="J4" s="3" t="s">
        <v>253</v>
      </c>
    </row>
    <row r="5" spans="1:10" s="3" customFormat="1" x14ac:dyDescent="0.25">
      <c r="A5" s="3" t="s">
        <v>264</v>
      </c>
      <c r="B5" s="3" t="s">
        <v>16</v>
      </c>
      <c r="C5" s="3">
        <v>5</v>
      </c>
      <c r="D5" s="4">
        <v>46207</v>
      </c>
      <c r="E5" s="3" t="s">
        <v>128</v>
      </c>
      <c r="F5" s="3" t="s">
        <v>335</v>
      </c>
      <c r="G5" s="3" t="s">
        <v>253</v>
      </c>
      <c r="H5" s="19">
        <v>80</v>
      </c>
      <c r="I5" s="3" t="s">
        <v>336</v>
      </c>
      <c r="J5" s="3" t="s">
        <v>253</v>
      </c>
    </row>
    <row r="6" spans="1:10" s="3" customFormat="1" x14ac:dyDescent="0.25">
      <c r="A6" s="3" t="s">
        <v>265</v>
      </c>
      <c r="B6" s="3" t="s">
        <v>16</v>
      </c>
      <c r="C6" s="3">
        <v>6</v>
      </c>
      <c r="D6" s="4">
        <v>46208</v>
      </c>
      <c r="E6" s="3" t="s">
        <v>132</v>
      </c>
      <c r="F6" s="3" t="s">
        <v>337</v>
      </c>
      <c r="G6" s="3" t="s">
        <v>253</v>
      </c>
      <c r="H6" s="19">
        <v>-90</v>
      </c>
      <c r="I6" s="3" t="s">
        <v>338</v>
      </c>
      <c r="J6" s="3" t="s">
        <v>253</v>
      </c>
    </row>
    <row r="7" spans="1:10" s="3" customFormat="1" x14ac:dyDescent="0.25">
      <c r="A7" s="3" t="s">
        <v>266</v>
      </c>
      <c r="B7" s="3" t="s">
        <v>16</v>
      </c>
      <c r="C7" s="3">
        <v>7</v>
      </c>
      <c r="D7" s="4">
        <v>46209</v>
      </c>
      <c r="E7" s="3" t="s">
        <v>136</v>
      </c>
      <c r="F7" s="3" t="s">
        <v>339</v>
      </c>
      <c r="G7" s="3" t="s">
        <v>253</v>
      </c>
      <c r="H7" s="19">
        <v>-50</v>
      </c>
      <c r="I7" s="3" t="s">
        <v>340</v>
      </c>
      <c r="J7" s="3" t="s">
        <v>253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39" customWidth="1"/>
    <col min="4" max="4" width="45" customWidth="1"/>
  </cols>
  <sheetData>
    <row r="1" ht="28" customHeight="1" spans="1:4" s="23" customFormat="1" x14ac:dyDescent="0.25">
      <c r="A1" s="23" t="s">
        <v>341</v>
      </c>
      <c r="B1" s="23" t="s">
        <v>318</v>
      </c>
      <c r="C1" s="23" t="s">
        <v>342</v>
      </c>
      <c r="D1" s="23" t="s">
        <v>343</v>
      </c>
    </row>
    <row r="2" spans="1:4" s="3" customFormat="1" x14ac:dyDescent="0.25">
      <c r="A2" s="3" t="s">
        <v>344</v>
      </c>
      <c r="B2" s="3">
        <v>1</v>
      </c>
      <c r="C2" s="3" t="s">
        <v>345</v>
      </c>
      <c r="D2" s="3" t="s">
        <v>346</v>
      </c>
    </row>
    <row r="3" spans="1:4" s="3" customFormat="1" x14ac:dyDescent="0.25">
      <c r="A3" s="3" t="s">
        <v>344</v>
      </c>
      <c r="B3" s="3">
        <v>8</v>
      </c>
      <c r="C3" s="3" t="s">
        <v>347</v>
      </c>
      <c r="D3" s="3" t="s">
        <v>348</v>
      </c>
    </row>
    <row r="4" spans="1:4" s="3" customFormat="1" x14ac:dyDescent="0.25">
      <c r="A4" s="3" t="s">
        <v>349</v>
      </c>
      <c r="B4" s="3">
        <v>1</v>
      </c>
      <c r="C4" s="3" t="s">
        <v>345</v>
      </c>
      <c r="D4" s="3" t="s">
        <v>350</v>
      </c>
    </row>
  </sheetData>
  <autoFilter ref="A1:D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3" customFormat="1" x14ac:dyDescent="0.25">
      <c r="A1" s="23" t="s">
        <v>351</v>
      </c>
      <c r="B1" s="23" t="s">
        <v>352</v>
      </c>
    </row>
    <row r="2" spans="1:2" s="3" customFormat="1" x14ac:dyDescent="0.25">
      <c r="A2" s="3" t="s">
        <v>353</v>
      </c>
      <c r="B2" s="3" t="s">
        <v>354</v>
      </c>
    </row>
    <row r="3" spans="1:2" s="3" customFormat="1" x14ac:dyDescent="0.25">
      <c r="A3" s="3" t="s">
        <v>355</v>
      </c>
      <c r="B3" s="3" t="s">
        <v>356</v>
      </c>
    </row>
    <row r="4" spans="1:2" s="3" customFormat="1" x14ac:dyDescent="0.25">
      <c r="A4" s="3" t="s">
        <v>357</v>
      </c>
      <c r="B4" s="3" t="s">
        <v>358</v>
      </c>
    </row>
    <row r="5" spans="1:2" s="3" customFormat="1" x14ac:dyDescent="0.25">
      <c r="A5" s="3" t="s">
        <v>359</v>
      </c>
      <c r="B5" s="3" t="s">
        <v>360</v>
      </c>
    </row>
    <row r="6" spans="1:2" s="3" customFormat="1" x14ac:dyDescent="0.25">
      <c r="A6" s="3" t="s">
        <v>361</v>
      </c>
      <c r="B6" s="3" t="s">
        <v>360</v>
      </c>
    </row>
    <row r="7" spans="1:2" s="3" customFormat="1" x14ac:dyDescent="0.25">
      <c r="A7" s="3" t="s">
        <v>362</v>
      </c>
      <c r="B7" s="3" t="s">
        <v>363</v>
      </c>
    </row>
    <row r="8" spans="1:2" s="3" customFormat="1" x14ac:dyDescent="0.25">
      <c r="A8" s="3" t="s">
        <v>364</v>
      </c>
      <c r="B8" s="3" t="s">
        <v>365</v>
      </c>
    </row>
    <row r="9" spans="1:2" s="3" customFormat="1" x14ac:dyDescent="0.25">
      <c r="A9" s="3" t="s">
        <v>366</v>
      </c>
      <c r="B9" s="3" t="s">
        <v>367</v>
      </c>
    </row>
    <row r="10" spans="1:2" s="3" customFormat="1" x14ac:dyDescent="0.25">
      <c r="A10" s="3" t="s">
        <v>368</v>
      </c>
      <c r="B10" s="3" t="s">
        <v>367</v>
      </c>
    </row>
    <row r="11" spans="1:2" s="3" customFormat="1" x14ac:dyDescent="0.25">
      <c r="A11" s="3" t="s">
        <v>369</v>
      </c>
      <c r="B11" s="3" t="s">
        <v>370</v>
      </c>
    </row>
    <row r="12" spans="1:2" s="3" customFormat="1" x14ac:dyDescent="0.25">
      <c r="A12" s="3" t="s">
        <v>371</v>
      </c>
      <c r="B12" s="3" t="s">
        <v>277</v>
      </c>
    </row>
    <row r="13" spans="1:2" s="3" customFormat="1" x14ac:dyDescent="0.25">
      <c r="A13" s="3" t="s">
        <v>372</v>
      </c>
      <c r="B13" s="3" t="s">
        <v>373</v>
      </c>
    </row>
    <row r="14" spans="1:2" s="3" customFormat="1" x14ac:dyDescent="0.25">
      <c r="A14" s="3" t="s">
        <v>374</v>
      </c>
      <c r="B14" s="3" t="s">
        <v>375</v>
      </c>
    </row>
    <row r="15" spans="1:2" s="3" customFormat="1" x14ac:dyDescent="0.25">
      <c r="A15" s="3" t="s">
        <v>376</v>
      </c>
      <c r="B15" s="3" t="s">
        <v>253</v>
      </c>
    </row>
    <row r="16" spans="1:2" s="3" customFormat="1" x14ac:dyDescent="0.25">
      <c r="A16" s="3" t="s">
        <v>377</v>
      </c>
      <c r="B16" s="3" t="s">
        <v>378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23" customFormat="1" x14ac:dyDescent="0.25">
      <c r="A1" s="23" t="s">
        <v>318</v>
      </c>
      <c r="B1" s="23" t="s">
        <v>379</v>
      </c>
      <c r="C1" s="23" t="s">
        <v>380</v>
      </c>
      <c r="D1" s="23" t="s">
        <v>381</v>
      </c>
      <c r="E1" s="23" t="s">
        <v>382</v>
      </c>
      <c r="F1" s="23" t="s">
        <v>383</v>
      </c>
    </row>
    <row r="2" spans="1:6" s="3" customFormat="1" x14ac:dyDescent="0.25">
      <c r="A2" s="3">
        <v>1</v>
      </c>
      <c r="B2" s="3" t="s">
        <v>118</v>
      </c>
      <c r="C2" s="3" t="s">
        <v>116</v>
      </c>
      <c r="D2" s="3" t="s">
        <v>384</v>
      </c>
      <c r="E2" s="3" t="s">
        <v>385</v>
      </c>
      <c r="F2" s="3" t="s">
        <v>386</v>
      </c>
    </row>
    <row r="3" spans="1:6" s="3" customFormat="1" x14ac:dyDescent="0.25">
      <c r="A3" s="3">
        <v>2</v>
      </c>
      <c r="B3" s="3" t="s">
        <v>89</v>
      </c>
      <c r="C3" s="3" t="s">
        <v>387</v>
      </c>
      <c r="D3" s="3" t="s">
        <v>332</v>
      </c>
      <c r="E3" s="3" t="s">
        <v>388</v>
      </c>
      <c r="F3" s="3" t="s">
        <v>332</v>
      </c>
    </row>
    <row r="4" spans="1:6" s="3" customFormat="1" x14ac:dyDescent="0.25">
      <c r="A4" s="3">
        <v>3</v>
      </c>
      <c r="B4" s="3" t="s">
        <v>98</v>
      </c>
      <c r="C4" s="3" t="s">
        <v>389</v>
      </c>
      <c r="D4" s="3" t="s">
        <v>388</v>
      </c>
      <c r="E4" s="3" t="s">
        <v>390</v>
      </c>
      <c r="F4" s="3" t="s">
        <v>391</v>
      </c>
    </row>
    <row r="5" spans="1:6" s="3" customFormat="1" x14ac:dyDescent="0.25">
      <c r="A5" s="3">
        <v>4</v>
      </c>
      <c r="B5" s="3" t="s">
        <v>102</v>
      </c>
      <c r="C5" s="3" t="s">
        <v>392</v>
      </c>
      <c r="D5" s="3" t="s">
        <v>388</v>
      </c>
      <c r="E5" s="3" t="s">
        <v>393</v>
      </c>
      <c r="F5" s="3" t="s">
        <v>394</v>
      </c>
    </row>
    <row r="6" spans="1:6" s="3" customFormat="1" x14ac:dyDescent="0.25">
      <c r="A6" s="3">
        <v>5</v>
      </c>
      <c r="B6" s="3" t="s">
        <v>128</v>
      </c>
      <c r="C6" s="3" t="s">
        <v>395</v>
      </c>
      <c r="D6" s="3" t="s">
        <v>396</v>
      </c>
      <c r="E6" s="3" t="s">
        <v>397</v>
      </c>
      <c r="F6" s="3" t="s">
        <v>398</v>
      </c>
    </row>
    <row r="7" spans="1:6" s="3" customFormat="1" x14ac:dyDescent="0.25">
      <c r="A7" s="3">
        <v>6</v>
      </c>
      <c r="B7" s="3" t="s">
        <v>132</v>
      </c>
      <c r="C7" s="3" t="s">
        <v>399</v>
      </c>
      <c r="D7" s="3" t="s">
        <v>338</v>
      </c>
      <c r="E7" s="3" t="s">
        <v>388</v>
      </c>
      <c r="F7" s="3" t="s">
        <v>400</v>
      </c>
    </row>
    <row r="8" spans="1:6" s="3" customFormat="1" x14ac:dyDescent="0.25">
      <c r="A8" s="3">
        <v>7</v>
      </c>
      <c r="B8" s="3" t="s">
        <v>136</v>
      </c>
      <c r="C8" s="3" t="s">
        <v>401</v>
      </c>
      <c r="D8" s="3" t="s">
        <v>388</v>
      </c>
      <c r="E8" s="3" t="s">
        <v>253</v>
      </c>
      <c r="F8" s="3" t="s">
        <v>402</v>
      </c>
    </row>
    <row r="9" spans="1:6" s="3" customFormat="1" x14ac:dyDescent="0.25">
      <c r="A9" s="3">
        <v>8</v>
      </c>
      <c r="B9" s="3" t="s">
        <v>403</v>
      </c>
      <c r="C9" s="3" t="s">
        <v>253</v>
      </c>
      <c r="D9" s="3" t="s">
        <v>404</v>
      </c>
      <c r="E9" s="3" t="s">
        <v>405</v>
      </c>
      <c r="F9" s="3" t="s">
        <v>402</v>
      </c>
    </row>
  </sheetData>
  <autoFilter ref="A1:F9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</cols>
  <sheetData>
    <row r="1" ht="28" customHeight="1" spans="1:5" s="23" customFormat="1" x14ac:dyDescent="0.25">
      <c r="A1" s="23" t="s">
        <v>318</v>
      </c>
      <c r="B1" s="23" t="s">
        <v>379</v>
      </c>
      <c r="C1" s="23" t="s">
        <v>380</v>
      </c>
      <c r="D1" s="23" t="s">
        <v>381</v>
      </c>
      <c r="E1" s="23" t="s">
        <v>382</v>
      </c>
    </row>
    <row r="2" spans="1:5" s="3" customFormat="1" x14ac:dyDescent="0.25">
      <c r="A2" s="3">
        <v>1</v>
      </c>
      <c r="B2" s="3" t="s">
        <v>118</v>
      </c>
      <c r="C2" s="3" t="s">
        <v>116</v>
      </c>
      <c r="D2" s="3" t="s">
        <v>121</v>
      </c>
      <c r="E2" s="3" t="s">
        <v>8</v>
      </c>
    </row>
    <row r="3" spans="1:5" s="3" customFormat="1" x14ac:dyDescent="0.25">
      <c r="A3" s="3">
        <v>2</v>
      </c>
      <c r="B3" s="3" t="s">
        <v>89</v>
      </c>
      <c r="C3" s="3" t="s">
        <v>387</v>
      </c>
      <c r="D3" s="3" t="s">
        <v>332</v>
      </c>
      <c r="E3" s="3" t="s">
        <v>9</v>
      </c>
    </row>
    <row r="4" spans="1:5" s="3" customFormat="1" x14ac:dyDescent="0.25">
      <c r="A4" s="3">
        <v>3</v>
      </c>
      <c r="B4" s="3" t="s">
        <v>98</v>
      </c>
      <c r="C4" s="3" t="s">
        <v>389</v>
      </c>
      <c r="D4" s="3" t="s">
        <v>333</v>
      </c>
      <c r="E4" s="3" t="s">
        <v>9</v>
      </c>
    </row>
    <row r="5" spans="1:5" s="3" customFormat="1" x14ac:dyDescent="0.25">
      <c r="A5" s="3">
        <v>4</v>
      </c>
      <c r="B5" s="3" t="s">
        <v>102</v>
      </c>
      <c r="C5" s="3" t="s">
        <v>392</v>
      </c>
      <c r="D5" s="3" t="s">
        <v>334</v>
      </c>
      <c r="E5" s="3" t="s">
        <v>9</v>
      </c>
    </row>
    <row r="6" spans="1:5" s="3" customFormat="1" x14ac:dyDescent="0.25">
      <c r="A6" s="3">
        <v>5</v>
      </c>
      <c r="B6" s="3" t="s">
        <v>128</v>
      </c>
      <c r="C6" s="3" t="s">
        <v>395</v>
      </c>
      <c r="D6" s="3" t="s">
        <v>336</v>
      </c>
      <c r="E6" s="3" t="s">
        <v>9</v>
      </c>
    </row>
    <row r="7" spans="1:5" s="3" customFormat="1" x14ac:dyDescent="0.25">
      <c r="A7" s="3">
        <v>6</v>
      </c>
      <c r="B7" s="3" t="s">
        <v>132</v>
      </c>
      <c r="C7" s="3" t="s">
        <v>399</v>
      </c>
      <c r="D7" s="3" t="s">
        <v>338</v>
      </c>
      <c r="E7" s="3" t="s">
        <v>9</v>
      </c>
    </row>
    <row r="8" spans="1:5" s="3" customFormat="1" x14ac:dyDescent="0.25">
      <c r="A8" s="3">
        <v>7</v>
      </c>
      <c r="B8" s="3" t="s">
        <v>136</v>
      </c>
      <c r="C8" s="3" t="s">
        <v>401</v>
      </c>
      <c r="D8" s="3" t="s">
        <v>340</v>
      </c>
      <c r="E8" s="3" t="s">
        <v>9</v>
      </c>
    </row>
  </sheetData>
  <autoFilter ref="A1:E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3" customFormat="1" x14ac:dyDescent="0.25">
      <c r="A1" s="23" t="s">
        <v>341</v>
      </c>
      <c r="B1" s="23" t="s">
        <v>406</v>
      </c>
      <c r="C1" s="23" t="s">
        <v>407</v>
      </c>
      <c r="D1" s="23" t="s">
        <v>408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3" customFormat="1" x14ac:dyDescent="0.25">
      <c r="A1" s="23" t="s">
        <v>409</v>
      </c>
      <c r="B1" s="23" t="s">
        <v>410</v>
      </c>
    </row>
    <row r="2" spans="1:2" s="3" customFormat="1" x14ac:dyDescent="0.25">
      <c r="A2" s="3" t="s">
        <v>411</v>
      </c>
      <c r="B2" s="3" t="s">
        <v>412</v>
      </c>
    </row>
    <row r="3" spans="1:2" s="3" customFormat="1" x14ac:dyDescent="0.25">
      <c r="A3" s="3" t="s">
        <v>413</v>
      </c>
      <c r="B3" s="3" t="s">
        <v>169</v>
      </c>
    </row>
    <row r="4" spans="1:2" s="3" customFormat="1" x14ac:dyDescent="0.25">
      <c r="A4" s="3" t="s">
        <v>414</v>
      </c>
      <c r="B4" s="3" t="s">
        <v>415</v>
      </c>
    </row>
    <row r="5" spans="1:2" s="3" customFormat="1" x14ac:dyDescent="0.25">
      <c r="A5" s="3" t="s">
        <v>416</v>
      </c>
      <c r="B5" s="4">
        <v>46300.889789479166</v>
      </c>
    </row>
    <row r="6" spans="1:2" s="3" customFormat="1" x14ac:dyDescent="0.25">
      <c r="A6" s="3" t="s">
        <v>417</v>
      </c>
      <c r="B6" s="3" t="s">
        <v>418</v>
      </c>
    </row>
    <row r="7" spans="1:2" s="3" customFormat="1" x14ac:dyDescent="0.25">
      <c r="A7" s="3" t="s">
        <v>419</v>
      </c>
      <c r="B7" s="3" t="s">
        <v>420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Matches</vt:lpstr>
      <vt:lpstr>Needs Review</vt:lpstr>
      <vt:lpstr>Unmatched</vt:lpstr>
      <vt:lpstr>Reconciliation Bridge</vt:lpstr>
      <vt:lpstr>Review Sign-off</vt:lpstr>
      <vt:lpstr>Visual Source Proof</vt:lpstr>
      <vt:lpstr>Visual Source Record</vt:lpstr>
      <vt:lpstr>Visual supplier PNG</vt:lpstr>
      <vt:lpstr>Diagnostics</vt:lpstr>
      <vt:lpstr>Reading Issues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2026-10-05T21:21:17Z</dcterms:created>
  <dcterms:modified xsi:type="dcterms:W3CDTF">2026-10-05T21:21:17Z</dcterms:modified>
</cp:coreProperties>
</file>