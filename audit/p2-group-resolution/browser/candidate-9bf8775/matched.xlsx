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10000" firstSheet="0" activeTab="0"/>
  </bookViews>
  <sheets>
    <sheet sheetId="1" name="Summary" state="visible" r:id="rId4"/>
    <sheet sheetId="2" name="Matches" state="visible" r:id="rId5"/>
    <sheet sheetId="3" name="Needs Review" state="visible" r:id="rId6"/>
    <sheet sheetId="4" name="Unmatched" state="visible" r:id="rId7"/>
    <sheet sheetId="5" name="Reconciliation Bridge" state="visible" r:id="rId8"/>
    <sheet sheetId="6" name="Review Sign-off" state="visible" r:id="rId9"/>
    <sheet sheetId="7" name="Diagnostics" state="hidden" r:id="rId10"/>
    <sheet sheetId="8" name="Match Evidence" state="hidden" r:id="rId11"/>
    <sheet sheetId="9" name="Review History" state="hidden" r:id="rId12"/>
    <sheet sheetId="10" name="Supplier transactions" state="hidden" r:id="rId13"/>
    <sheet sheetId="11" name="Ledger transactions" state="hidden" r:id="rId14"/>
    <sheet sheetId="12" name="Excluded Rows" state="hidden" r:id="rId15"/>
    <sheet sheetId="13" name="Run Settings" state="hidden" r:id="rId16"/>
    <sheet sheetId="14" name="Parsed Supplier Source" state="hidden" r:id="rId17"/>
    <sheet sheetId="15" name="Parsed Ledger Source" state="hidden" r:id="rId18"/>
    <sheet sheetId="16" name="PDF Row Origins" state="hidden" r:id="rId19"/>
    <sheet sheetId="17" name="Export Metadata" state="hidden" r:id="rId20"/>
  </sheets>
  <definedNames>
    <definedName name="_xlnm.Print_Titles" localSheetId="0">'Summary'!$1:$1</definedName>
    <definedName name="_xlnm.Print_Titles" localSheetId="1">'Matches'!$1:$1</definedName>
    <definedName name="_xlnm.Print_Titles" localSheetId="2">'Needs Review'!$1:$1</definedName>
    <definedName name="_xlnm.Print_Titles" localSheetId="3">'Unmatched'!$1:$1</definedName>
    <definedName name="_xlnm.Print_Titles" localSheetId="4">'Reconciliation Bridge'!$1:$1</definedName>
    <definedName name="_xlnm.Print_Titles" localSheetId="5">'Review Sign-off'!$1:$1</definedName>
  </definedNames>
  <calcPr calcId="171027" fullCalcOnLoad="1"/>
</workbook>
</file>

<file path=xl/sharedStrings.xml><?xml version="1.0" encoding="utf-8"?>
<sst xmlns="http://schemas.openxmlformats.org/spreadsheetml/2006/main" count="473" uniqueCount="254">
  <si>
    <t>Field / الحقل</t>
  </si>
  <si>
    <t>Value / القيمة</t>
  </si>
  <si>
    <t>Workbook Mode</t>
  </si>
  <si>
    <t>Verified accounting snapshot for review; not a declaration of full reconciliation.</t>
  </si>
  <si>
    <t>Supplier</t>
  </si>
  <si>
    <t>Entity</t>
  </si>
  <si>
    <t>Currency</t>
  </si>
  <si>
    <t>SAR</t>
  </si>
  <si>
    <t>Supplier Period Start</t>
  </si>
  <si>
    <t>Supplier Period End</t>
  </si>
  <si>
    <t>Ledger Period Start</t>
  </si>
  <si>
    <t>Ledger Period End</t>
  </si>
  <si>
    <t>Cut-off Date</t>
  </si>
  <si>
    <t>Supplier Source Type</t>
  </si>
  <si>
    <t>CSV</t>
  </si>
  <si>
    <t>Ledger Source Type</t>
  </si>
  <si>
    <t>Supplier Statement Account</t>
  </si>
  <si>
    <t>Supplier Code</t>
  </si>
  <si>
    <t>AP Control Account</t>
  </si>
  <si>
    <t>Reviewer Status</t>
  </si>
  <si>
    <t>Pending review</t>
  </si>
  <si>
    <t>Supplier Opening Balance</t>
  </si>
  <si>
    <t>Ledger Opening Balance</t>
  </si>
  <si>
    <t>Supplier Closing Balance</t>
  </si>
  <si>
    <t>Ledger Closing Balance</t>
  </si>
  <si>
    <t>Opening Difference</t>
  </si>
  <si>
    <t>Closing Difference</t>
  </si>
  <si>
    <t>Supplier Balance Arithmetic</t>
  </si>
  <si>
    <t>BALANCE_ROW_NOT_FOUND</t>
  </si>
  <si>
    <t>Ledger Balance Arithmetic</t>
  </si>
  <si>
    <t>Supplier Period Status</t>
  </si>
  <si>
    <t>PERIOD_NOT_DETECTED</t>
  </si>
  <si>
    <t>Ledger Period Status</t>
  </si>
  <si>
    <t>Coverage Confirmation Status</t>
  </si>
  <si>
    <t>PERIOD_COVERAGE_UNCONFIRMED</t>
  </si>
  <si>
    <t>Auto Matched Cases</t>
  </si>
  <si>
    <t>Matched Source Rows</t>
  </si>
  <si>
    <t>Needs Review Cases</t>
  </si>
  <si>
    <t>Needs Review Source Rows</t>
  </si>
  <si>
    <t>Unmatched Cases</t>
  </si>
  <si>
    <t>Unmatched Source Rows</t>
  </si>
  <si>
    <t>Manual Matches</t>
  </si>
  <si>
    <t>Rejected Candidates</t>
  </si>
  <si>
    <t>Net Bridge Adjustments</t>
  </si>
  <si>
    <t>Adjusted Supplier Balance</t>
  </si>
  <si>
    <t>Residual</t>
  </si>
  <si>
    <t>Bridge Status</t>
  </si>
  <si>
    <t>Balance bridge prerequisites incomplete</t>
  </si>
  <si>
    <t>Review Cases</t>
  </si>
  <si>
    <t>Open Needs Review</t>
  </si>
  <si>
    <t>Review Sign-off</t>
  </si>
  <si>
    <t>Open Review Sign-off</t>
  </si>
  <si>
    <t>Audit Metadata</t>
  </si>
  <si>
    <t>Version, hashes and export time (hidden audit sheet)</t>
  </si>
  <si>
    <t>Case ID</t>
  </si>
  <si>
    <t>Match Type</t>
  </si>
  <si>
    <t>Supplier Date</t>
  </si>
  <si>
    <t>Supplier References</t>
  </si>
  <si>
    <t>Supplier Amount</t>
  </si>
  <si>
    <t>Ledger Date</t>
  </si>
  <si>
    <t>Ledger References</t>
  </si>
  <si>
    <t>Ledger Amount</t>
  </si>
  <si>
    <t>Group Members</t>
  </si>
  <si>
    <t>Date Gap</t>
  </si>
  <si>
    <t>Rule</t>
  </si>
  <si>
    <t>Evidence</t>
  </si>
  <si>
    <t>Status</t>
  </si>
  <si>
    <t>Reviewer Note</t>
  </si>
  <si>
    <t>Supplier Source Rows</t>
  </si>
  <si>
    <t>Ledger Source Rows</t>
  </si>
  <si>
    <t>Match Decision</t>
  </si>
  <si>
    <t>Supplier Source 1</t>
  </si>
  <si>
    <t>Supplier Source 2</t>
  </si>
  <si>
    <t>Ledger Source 1</t>
  </si>
  <si>
    <t>Ledger Source 2</t>
  </si>
  <si>
    <t>CASE-33665343</t>
  </si>
  <si>
    <t>N:M</t>
  </si>
  <si>
    <t>BANK-P2-441</t>
  </si>
  <si>
    <t>2 supplier / 2 ledger</t>
  </si>
  <si>
    <t>EXPLICIT_PAYMENT_COMPLETE_GROUP_TOTAL_V2</t>
  </si>
  <si>
    <t xml:space="preserve">مطابقة مجموعتين كاملتين بهوية bankReference: BANK-P2-441؛ 2 حركة مورد و2 حركة دفتر؛ إجمالي كل طرف -100.00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</si>
  <si>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Matched</t>
  </si>
  <si>
    <t>Auto</t>
  </si>
  <si>
    <t>supplier · CSV · row 2</t>
  </si>
  <si>
    <t>supplier · CSV · row 3</t>
  </si>
  <si>
    <t>ledger · CSV · row 2</t>
  </si>
  <si>
    <t>ledger · CSV · row 3</t>
  </si>
  <si>
    <t>Classification</t>
  </si>
  <si>
    <t>Supplier Members</t>
  </si>
  <si>
    <t>Ledger Members</t>
  </si>
  <si>
    <t>Supplier Total</t>
  </si>
  <si>
    <t>Ledger Total</t>
  </si>
  <si>
    <t>Variance</t>
  </si>
  <si>
    <t>Why Review Is Required</t>
  </si>
  <si>
    <t>Suggested Action</t>
  </si>
  <si>
    <t>User Decision</t>
  </si>
  <si>
    <t>User Reason</t>
  </si>
  <si>
    <t>Side</t>
  </si>
  <si>
    <t>Date</t>
  </si>
  <si>
    <t>Document Type</t>
  </si>
  <si>
    <t>Reference</t>
  </si>
  <si>
    <t>PO / Voucher / Bank Ref</t>
  </si>
  <si>
    <t>Description</t>
  </si>
  <si>
    <t>Amount</t>
  </si>
  <si>
    <t>Reason</t>
  </si>
  <si>
    <t>Source Link</t>
  </si>
  <si>
    <t>Source Rows</t>
  </si>
  <si>
    <t>Adjustment From Supplier to Ledger</t>
  </si>
  <si>
    <t>Explanation</t>
  </si>
  <si>
    <t>Review Status</t>
  </si>
  <si>
    <t>Supporting Source</t>
  </si>
  <si>
    <t>Balance bridge prerequisites are incomplete. Case adjustments above are transaction effects only.</t>
  </si>
  <si>
    <t>Reviewer Name</t>
  </si>
  <si>
    <t>Synthetic P2 reviewer</t>
  </si>
  <si>
    <t>Review Date</t>
  </si>
  <si>
    <t>Coverage Confirmed</t>
  </si>
  <si>
    <t>Pending user confirmation</t>
  </si>
  <si>
    <t>Review Completed</t>
  </si>
  <si>
    <t>Pending</t>
  </si>
  <si>
    <t>Approved / Not Approved</t>
  </si>
  <si>
    <t>Not approved — review completion is not an approval declaration</t>
  </si>
  <si>
    <t>Notes</t>
  </si>
  <si>
    <t>Browser acceptance of complete groups and documented review decisions.</t>
  </si>
  <si>
    <t>Snapshot. Editing this workbook does not change TARASUF decisions, evidence or matching status. Record decisions in TARASUF and export a new snapshot.</t>
  </si>
  <si>
    <t>Review History</t>
  </si>
  <si>
    <t>Recorded actions</t>
  </si>
  <si>
    <t>الرمز</t>
  </si>
  <si>
    <t>التفسير</t>
  </si>
  <si>
    <t>حركات المصدر</t>
  </si>
  <si>
    <t>المورد: لم يُستخرج رصيد كافٍ لاختبار المعادلة.</t>
  </si>
  <si>
    <t/>
  </si>
  <si>
    <t>المورد: لم يؤكد المستخدم بعد اكتمال تغطية الفترة. هذا لا يغيّر نتيجة اختبار معادلة الرصيد.</t>
  </si>
  <si>
    <t>الدفتر: لم يُستخرج رصيد كافٍ لاختبار المعادلة.</t>
  </si>
  <si>
    <t>الدفتر: لم يؤكد المستخدم بعد اكتمال تغطية الفترة. هذا لا يغيّر نتيجة اختبار معادلة الرصيد.</t>
  </si>
  <si>
    <t>EXACT_MANY_TO_MANY</t>
  </si>
  <si>
    <t>supplier:0:2 | supplier:0:3 | ledger:0:2 | ledger:0:3</t>
  </si>
  <si>
    <t>Source Row ID</t>
  </si>
  <si>
    <t>Source Sheet</t>
  </si>
  <si>
    <t>Source Row</t>
  </si>
  <si>
    <t>PDF Page</t>
  </si>
  <si>
    <t>Primary Reference</t>
  </si>
  <si>
    <t>Document Reference</t>
  </si>
  <si>
    <t>Voucher Reference</t>
  </si>
  <si>
    <t>PO Reference</t>
  </si>
  <si>
    <t>Bank Reference</t>
  </si>
  <si>
    <t>Receipt Reference</t>
  </si>
  <si>
    <t>Reviewer Decision</t>
  </si>
  <si>
    <t>Reviewer Reason</t>
  </si>
  <si>
    <t>Retained Evidence</t>
  </si>
  <si>
    <t>supplier</t>
  </si>
  <si>
    <t>supplier:0:2</t>
  </si>
  <si>
    <t>SUP-PAY-441-1</t>
  </si>
  <si>
    <t>SUP-VOUCHER-441-1</t>
  </si>
  <si>
    <t>supplier:0:3</t>
  </si>
  <si>
    <t>SUP-PAY-441-2</t>
  </si>
  <si>
    <t>SUP-VOUCHER-441-2</t>
  </si>
  <si>
    <t>ledger</t>
  </si>
  <si>
    <t>ledger:0:2</t>
  </si>
  <si>
    <t>LED-PAY-441-1</t>
  </si>
  <si>
    <t>LED-VOUCHER-441-1</t>
  </si>
  <si>
    <t>ledger:0:3</t>
  </si>
  <si>
    <t>LED-PAY-441-2</t>
  </si>
  <si>
    <t>LED-VOUCHER-441-2</t>
  </si>
  <si>
    <t>Timestamp</t>
  </si>
  <si>
    <t>Action</t>
  </si>
  <si>
    <t>Source Row IDs</t>
  </si>
  <si>
    <t>compare</t>
  </si>
  <si>
    <t>تأكيد الإعدادات وتشغيل المقارنة: حتى 2026-07-31، SAR، فرق الأيام المسموح 2</t>
  </si>
  <si>
    <t>المعرف</t>
  </si>
  <si>
    <t>الورقة</t>
  </si>
  <si>
    <t>صف المصدر</t>
  </si>
  <si>
    <t>التاريخ</t>
  </si>
  <si>
    <t>المرجع الأصلي</t>
  </si>
  <si>
    <t>المرجع الموحد</t>
  </si>
  <si>
    <t>الوصف</t>
  </si>
  <si>
    <t>المبلغ الموحد</t>
  </si>
  <si>
    <t>المبلغ الأصلي</t>
  </si>
  <si>
    <t>صفحة PDF الأصلية</t>
  </si>
  <si>
    <t>BANKP2441</t>
  </si>
  <si>
    <t>supplier payment part 1</t>
  </si>
  <si>
    <t>-40.00</t>
  </si>
  <si>
    <t>supplier payment part 2</t>
  </si>
  <si>
    <t>-60.00</t>
  </si>
  <si>
    <t>ledger payment part 1</t>
  </si>
  <si>
    <t>-25.00</t>
  </si>
  <si>
    <t>ledger payment part 2</t>
  </si>
  <si>
    <t>-75.00</t>
  </si>
  <si>
    <t>الطرف</t>
  </si>
  <si>
    <t>سبب الاستبعاد</t>
  </si>
  <si>
    <t>المحتوى</t>
  </si>
  <si>
    <t>المورد</t>
  </si>
  <si>
    <t>صف العناوين المؤكد</t>
  </si>
  <si>
    <t>["Date","Document No","Reference","Amount","Type","Bank Reference","Receipt No","Voucher No","Description","Currency","PO"]</t>
  </si>
  <si>
    <t>الدفتر</t>
  </si>
  <si>
    <t>الحقل</t>
  </si>
  <si>
    <t>القيمة</t>
  </si>
  <si>
    <t>Scope</t>
  </si>
  <si>
    <t>{"supplier":"","entity":"","account":"","currency":"SAR","decimals":2,"cutoff":"2026-07-31","dateWindow":2,"confirmed":true,"coverageConfirmed":false}</t>
  </si>
  <si>
    <t>Supplier mapping</t>
  </si>
  <si>
    <t>{"sheet":0,"header":0,"date":0,"reference":1,"description":8,"amount":3,"debit":-1,"credit":-1,"currencyColumn":9,"mode":"signed","multiplier":1,"numberFormat":"dot","dateFormat":"ymd","reportType":"transactions","opening":"","closing":"","periodStart":"","excluded":{},"pdfReviewed":false}</t>
  </si>
  <si>
    <t>Ledger mapping</t>
  </si>
  <si>
    <t>Supplier PDF layout</t>
  </si>
  <si>
    <t>null</t>
  </si>
  <si>
    <t>Ledger PDF layout</t>
  </si>
  <si>
    <t>Supplier metadata</t>
  </si>
  <si>
    <t>{"openingBalance":null,"closingBalance":null,"periodStart":"","periodEnd":"","supplierStatementAccount":"","supplierCode":"","apControlAccount":"","supplierName":"","entityName":"","currency":"SAR","balanceRowReference":{},"evidence":[{"field":"currency","value":"SAR","sheet":"CSV","row":2,"column":10,"originalValue":"SAR","method":"literal"}],"warnings":[]}</t>
  </si>
  <si>
    <t>Ledger metadata</t>
  </si>
  <si>
    <t>Rejected pairs</t>
  </si>
  <si>
    <t>[]</t>
  </si>
  <si>
    <t>Ambiguous source rows</t>
  </si>
  <si>
    <t>Candidate links (not approvals)</t>
  </si>
  <si>
    <t>{}</t>
  </si>
  <si>
    <t>Supplier filename</t>
  </si>
  <si>
    <t>group-supplier.csv</t>
  </si>
  <si>
    <t>Ledger filename</t>
  </si>
  <si>
    <t>group-ledger.csv</t>
  </si>
  <si>
    <t>تحذيرات المورد</t>
  </si>
  <si>
    <t>تحذيرات الدفتر</t>
  </si>
  <si>
    <t>حفظ البيانات</t>
  </si>
  <si>
    <t>تُحفظ البيانات في ملف Excel الذي يختار المستخدم تصديره، ولا تُحفظ على خادم.</t>
  </si>
  <si>
    <t>عمود 1</t>
  </si>
  <si>
    <t>عمود 2</t>
  </si>
  <si>
    <t>عمود 3</t>
  </si>
  <si>
    <t>عمود 4</t>
  </si>
  <si>
    <t>عمود 5</t>
  </si>
  <si>
    <t>عمود 6</t>
  </si>
  <si>
    <t>عمود 7</t>
  </si>
  <si>
    <t>عمود 8</t>
  </si>
  <si>
    <t>عمود 9</t>
  </si>
  <si>
    <t>عمود 10</t>
  </si>
  <si>
    <t>عمود 11</t>
  </si>
  <si>
    <t>Document No</t>
  </si>
  <si>
    <t>Type</t>
  </si>
  <si>
    <t>Receipt No</t>
  </si>
  <si>
    <t>Voucher No</t>
  </si>
  <si>
    <t>PO</t>
  </si>
  <si>
    <t>2026-07-15</t>
  </si>
  <si>
    <t>Payment</t>
  </si>
  <si>
    <t>صف الاستخراج</t>
  </si>
  <si>
    <t>صفحة PDF</t>
  </si>
  <si>
    <t>المحتوى المستخرج</t>
  </si>
  <si>
    <t>Field</t>
  </si>
  <si>
    <t>Value</t>
  </si>
  <si>
    <t>Engine version</t>
  </si>
  <si>
    <t>0.3.19-experimental</t>
  </si>
  <si>
    <t>Supplier SHA-256</t>
  </si>
  <si>
    <t>a83a12f628d783dc5b03d596098630de9c8302627ce24bc7b47b614a3d2229eb</t>
  </si>
  <si>
    <t>Ledger SHA-256</t>
  </si>
  <si>
    <t>28b57c97fb74abb6759f56957cfedcc00d6421aaa7623e6bd35ec907ed4114fa</t>
  </si>
  <si>
    <t>Export time</t>
  </si>
  <si>
    <t>Workbook mode</t>
  </si>
  <si>
    <t>Verified snapshot; workbook edits do not change engine decisions</t>
  </si>
  <si>
    <t>Parsed source meaning</t>
  </si>
  <si>
    <t>Extracted cells with original source row numbers, not visual reproductions of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</si>
</sst>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color rgb="FFFFFFFF"/>
    </font>
    <font>
      <b/>
      <color rgb="FF24465D"/>
    </font>
    <font>
      <u/>
      <color rgb="FF245A81"/>
    </font>
    <font>
      <b/>
    </font>
  </fonts>
  <fills count="5">
    <fill>
      <patternFill patternType="none"/>
    </fill>
    <fill>
      <patternFill patternType="gray125"/>
    </fill>
    <fill>
      <patternFill patternType="solid">
        <fgColor rgb="FF31556B"/>
      </patternFill>
    </fill>
    <fill>
      <patternFill patternType="solid">
        <fgColor rgb="FFE4F0E9"/>
      </patternFill>
    </fill>
    <fill>
      <patternFill patternType="solid">
        <fgColor rgb="FF155C4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vertical="top" wrapText="1" readingOrder="1"/>
    </xf>
    <xf numFmtId="0" fontId="0" fillId="0" borderId="0" xfId="0" applyAlignment="1">
      <alignment vertical="top" wrapText="1" readingOrder="1"/>
    </xf>
    <xf numFmtId="164" fontId="0" fillId="0" borderId="0" xfId="0" applyNumberFormat="1" applyAlignment="1">
      <alignment vertical="top" wrapText="1" readingOrder="1"/>
    </xf>
    <xf numFmtId="4" fontId="2" fillId="0" borderId="0" xfId="0" applyNumberFormat="1" applyFont="1" applyAlignment="1">
      <alignment vertical="top" wrapText="1" readingOrder="1"/>
    </xf>
    <xf numFmtId="0" fontId="2" fillId="0" borderId="0" xfId="0" applyFont="1" applyAlignment="1">
      <alignment vertical="top" wrapText="1" readingOrder="1"/>
    </xf>
    <xf numFmtId="4" fontId="0" fillId="0" borderId="0" xfId="0" applyNumberFormat="1"/>
    <xf numFmtId="4" fontId="1" fillId="2" borderId="0" xfId="0" applyNumberFormat="1" applyFont="1" applyFill="1" applyAlignment="1">
      <alignment vertical="top" wrapText="1" readingOrder="1"/>
    </xf>
    <xf numFmtId="0" fontId="0" fillId="3" borderId="0" xfId="0" applyFill="1"/>
    <xf numFmtId="0" fontId="0" fillId="3" borderId="0" xfId="0" applyFill="1" applyAlignment="1">
      <alignment vertical="top" wrapText="1" readingOrder="1"/>
    </xf>
    <xf numFmtId="164" fontId="0" fillId="3" borderId="0" xfId="0" applyNumberFormat="1" applyFill="1" applyAlignment="1">
      <alignment vertical="top" wrapText="1" readingOrder="1"/>
    </xf>
    <xf numFmtId="4" fontId="0" fillId="3" borderId="0" xfId="0" applyNumberFormat="1" applyFill="1" applyAlignment="1">
      <alignment vertical="top" wrapText="1" readingOrder="1"/>
    </xf>
    <xf numFmtId="0" fontId="3" fillId="3" borderId="0" xfId="0" applyFont="1" applyFill="1" applyAlignment="1">
      <alignment vertical="top" wrapText="1" readingOrder="1"/>
    </xf>
    <xf numFmtId="4" fontId="4" fillId="0" borderId="0" xfId="0" applyNumberFormat="1" applyFont="1" applyAlignment="1">
      <alignment vertical="center" wrapText="1" readingOrder="1"/>
    </xf>
    <xf numFmtId="0" fontId="0" fillId="0" borderId="0" xfId="0" applyAlignment="1">
      <alignment wrapText="1"/>
    </xf>
    <xf numFmtId="0" fontId="3" fillId="0" borderId="0" xfId="0" applyFont="1" applyAlignment="1">
      <alignment vertical="top" wrapText="1" readingOrder="1"/>
    </xf>
    <xf numFmtId="0" fontId="1" fillId="4" borderId="0" xfId="0" applyFont="1" applyFill="1"/>
    <xf numFmtId="4" fontId="1" fillId="4" borderId="0" xfId="0" applyNumberFormat="1" applyFont="1" applyFill="1"/>
    <xf numFmtId="4" fontId="0" fillId="0" borderId="0" xfId="0" applyNumberFormat="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eeds Review&apos;!A1" TargetMode="External"/><Relationship Id="rId2" Type="http://schemas.openxmlformats.org/officeDocument/2006/relationships/hyperlink" Target="#&apos;Review Sign-off&apos;!A1" TargetMode="External"/><Relationship Id="rId3" Type="http://schemas.openxmlformats.org/officeDocument/2006/relationships/hyperlink" Target="#&apos;Export Metadata&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view History&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2"/>
  <sheetViews>
    <sheetView workbookViewId="0" rightToLeft="1">
      <pane ySplit="1" topLeftCell="A2" activePane="bottomLeft" state="frozen"/>
      <selection pane="bottomLeft"/>
    </sheetView>
  </sheetViews>
  <sheetFormatPr defaultRowHeight="15" outlineLevelRow="0" outlineLevelCol="0" x14ac:dyDescent="55"/>
  <cols>
    <col min="1" max="1" width="37" customWidth="1"/>
    <col min="2" max="2" width="88" customWidth="1"/>
  </cols>
  <sheetData>
    <row r="1" ht="32" customHeight="1" spans="1:2" s="1" customFormat="1" x14ac:dyDescent="0.25">
      <c r="A1" s="2" t="s">
        <v>0</v>
      </c>
      <c r="B1" s="2" t="s">
        <v>1</v>
      </c>
    </row>
    <row r="2" ht="30" customHeight="1" spans="1:2" s="3" customFormat="1" x14ac:dyDescent="0.25">
      <c r="A2" s="3" t="s">
        <v>2</v>
      </c>
      <c r="B2" s="3" t="s">
        <v>3</v>
      </c>
    </row>
    <row r="3" ht="30" customHeight="1" spans="1:2" s="3" customFormat="1" x14ac:dyDescent="0.25">
      <c r="A3" s="3" t="s">
        <v>4</v>
      </c>
      <c r="B3" s="3"/>
    </row>
    <row r="4" ht="30" customHeight="1" spans="1:2" s="3" customFormat="1" x14ac:dyDescent="0.25">
      <c r="A4" s="3" t="s">
        <v>5</v>
      </c>
      <c r="B4" s="3"/>
    </row>
    <row r="5" ht="30" customHeight="1" spans="1:2" s="3" customFormat="1" x14ac:dyDescent="0.25">
      <c r="A5" s="3" t="s">
        <v>6</v>
      </c>
      <c r="B5" s="3" t="s">
        <v>7</v>
      </c>
    </row>
    <row r="6" ht="30" customHeight="1" spans="1:2" s="3" customFormat="1" x14ac:dyDescent="0.25">
      <c r="A6" s="3" t="s">
        <v>8</v>
      </c>
      <c r="B6" s="4"/>
    </row>
    <row r="7" ht="30" customHeight="1" spans="1:2" s="3" customFormat="1" x14ac:dyDescent="0.25">
      <c r="A7" s="3" t="s">
        <v>9</v>
      </c>
      <c r="B7" s="4"/>
    </row>
    <row r="8" ht="30" customHeight="1" spans="1:2" s="3" customFormat="1" x14ac:dyDescent="0.25">
      <c r="A8" s="3" t="s">
        <v>10</v>
      </c>
      <c r="B8" s="4"/>
    </row>
    <row r="9" ht="30" customHeight="1" spans="1:2" s="3" customFormat="1" x14ac:dyDescent="0.25">
      <c r="A9" s="3" t="s">
        <v>11</v>
      </c>
      <c r="B9" s="4"/>
    </row>
    <row r="10" ht="30" customHeight="1" spans="1:2" s="3" customFormat="1" x14ac:dyDescent="0.25">
      <c r="A10" s="3" t="s">
        <v>12</v>
      </c>
      <c r="B10" s="4">
        <v>46234</v>
      </c>
    </row>
    <row r="11" ht="30" customHeight="1" spans="1:2" s="3" customFormat="1" x14ac:dyDescent="0.25">
      <c r="A11" s="3" t="s">
        <v>13</v>
      </c>
      <c r="B11" s="3" t="s">
        <v>14</v>
      </c>
    </row>
    <row r="12" ht="30" customHeight="1" spans="1:2" s="3" customFormat="1" x14ac:dyDescent="0.25">
      <c r="A12" s="3" t="s">
        <v>15</v>
      </c>
      <c r="B12" s="3" t="s">
        <v>14</v>
      </c>
    </row>
    <row r="13" ht="30" customHeight="1" spans="1:2" s="3" customFormat="1" x14ac:dyDescent="0.25">
      <c r="A13" s="3" t="s">
        <v>16</v>
      </c>
      <c r="B13" s="3"/>
    </row>
    <row r="14" ht="30" customHeight="1" spans="1:2" s="3" customFormat="1" x14ac:dyDescent="0.25">
      <c r="A14" s="3" t="s">
        <v>17</v>
      </c>
      <c r="B14" s="3"/>
    </row>
    <row r="15" ht="30" customHeight="1" spans="1:2" s="3" customFormat="1" x14ac:dyDescent="0.25">
      <c r="A15" s="3" t="s">
        <v>18</v>
      </c>
      <c r="B15" s="3"/>
    </row>
    <row r="16" ht="30" customHeight="1" spans="1:2" s="3" customFormat="1" x14ac:dyDescent="0.25">
      <c r="A16" s="3" t="s">
        <v>19</v>
      </c>
      <c r="B16" s="3" t="s">
        <v>20</v>
      </c>
    </row>
    <row r="17" ht="30" customHeight="1" spans="1:2" s="3" customFormat="1" x14ac:dyDescent="0.25">
      <c r="A17" s="3" t="s">
        <v>21</v>
      </c>
      <c r="B17" s="5"/>
    </row>
    <row r="18" ht="30" customHeight="1" spans="1:2" s="3" customFormat="1" x14ac:dyDescent="0.25">
      <c r="A18" s="3" t="s">
        <v>22</v>
      </c>
      <c r="B18" s="5"/>
    </row>
    <row r="19" ht="30" customHeight="1" spans="1:2" s="3" customFormat="1" x14ac:dyDescent="0.25">
      <c r="A19" s="3" t="s">
        <v>23</v>
      </c>
      <c r="B19" s="5"/>
    </row>
    <row r="20" ht="30" customHeight="1" spans="1:2" s="3" customFormat="1" x14ac:dyDescent="0.25">
      <c r="A20" s="3" t="s">
        <v>24</v>
      </c>
      <c r="B20" s="5"/>
    </row>
    <row r="21" ht="30" customHeight="1" spans="1:2" s="3" customFormat="1" x14ac:dyDescent="0.25">
      <c r="A21" s="3" t="s">
        <v>25</v>
      </c>
      <c r="B21" s="5"/>
    </row>
    <row r="22" ht="30" customHeight="1" spans="1:2" s="3" customFormat="1" x14ac:dyDescent="0.25">
      <c r="A22" s="3" t="s">
        <v>26</v>
      </c>
      <c r="B22" s="5"/>
    </row>
    <row r="23" ht="30" customHeight="1" spans="1:2" s="3" customFormat="1" x14ac:dyDescent="0.25">
      <c r="A23" s="3" t="s">
        <v>27</v>
      </c>
      <c r="B23" s="3" t="s">
        <v>28</v>
      </c>
    </row>
    <row r="24" ht="30" customHeight="1" spans="1:2" s="3" customFormat="1" x14ac:dyDescent="0.25">
      <c r="A24" s="3" t="s">
        <v>29</v>
      </c>
      <c r="B24" s="3" t="s">
        <v>28</v>
      </c>
    </row>
    <row r="25" ht="30" customHeight="1" spans="1:2" s="3" customFormat="1" x14ac:dyDescent="0.25">
      <c r="A25" s="3" t="s">
        <v>30</v>
      </c>
      <c r="B25" s="3" t="s">
        <v>31</v>
      </c>
    </row>
    <row r="26" ht="30" customHeight="1" spans="1:2" s="3" customFormat="1" x14ac:dyDescent="0.25">
      <c r="A26" s="3" t="s">
        <v>32</v>
      </c>
      <c r="B26" s="3" t="s">
        <v>31</v>
      </c>
    </row>
    <row r="27" ht="30" customHeight="1" spans="1:2" s="3" customFormat="1" x14ac:dyDescent="0.25">
      <c r="A27" s="3" t="s">
        <v>33</v>
      </c>
      <c r="B27" s="3" t="s">
        <v>34</v>
      </c>
    </row>
    <row r="28" ht="30" customHeight="1" spans="1:2" s="3" customFormat="1" x14ac:dyDescent="0.25">
      <c r="A28" s="3" t="s">
        <v>35</v>
      </c>
      <c r="B28" s="6">
        <f>COUNTIF('Matches'!Q2:Q2,"Auto")</f>
        <v>1</v>
      </c>
    </row>
    <row r="29" ht="30" customHeight="1" spans="1:2" s="3" customFormat="1" x14ac:dyDescent="0.25">
      <c r="A29" s="3" t="s">
        <v>36</v>
      </c>
      <c r="B29" s="6">
        <f>SUM('Matches'!O2:P2)</f>
        <v>4</v>
      </c>
    </row>
    <row r="30" ht="30" customHeight="1" spans="1:2" s="3" customFormat="1" x14ac:dyDescent="0.25">
      <c r="A30" s="3" t="s">
        <v>37</v>
      </c>
      <c r="B30" s="6">
        <f>COUNTIF('Needs Review'!M2:M2,"Needs Review")</f>
        <v>0</v>
      </c>
    </row>
    <row r="31" ht="30" customHeight="1" spans="1:2" s="3" customFormat="1" x14ac:dyDescent="0.25">
      <c r="A31" s="3" t="s">
        <v>38</v>
      </c>
      <c r="B31" s="6">
        <f>SUMIF('Needs Review'!M2:M2,"Needs Review",'Needs Review'!N2:N2)+SUMIF('Needs Review'!M2:M2,"Needs Review",'Needs Review'!O2:O2)</f>
        <v>0</v>
      </c>
    </row>
    <row r="32" ht="30" customHeight="1" spans="1:2" s="3" customFormat="1" x14ac:dyDescent="0.25">
      <c r="A32" s="3" t="s">
        <v>39</v>
      </c>
      <c r="B32" s="6">
        <f>COUNTA('Unmatched'!A2:A2)</f>
        <v>0</v>
      </c>
    </row>
    <row r="33" ht="30" customHeight="1" spans="1:2" s="3" customFormat="1" x14ac:dyDescent="0.25">
      <c r="A33" s="3" t="s">
        <v>40</v>
      </c>
      <c r="B33" s="6">
        <f>SUM('Unmatched'!K2:K2)</f>
        <v>0</v>
      </c>
    </row>
    <row r="34" ht="30" customHeight="1" spans="1:2" s="3" customFormat="1" x14ac:dyDescent="0.25">
      <c r="A34" s="3" t="s">
        <v>41</v>
      </c>
      <c r="B34" s="3">
        <f>COUNTIF('Matches'!Q2:Q2,"Manual")</f>
        <v>0</v>
      </c>
    </row>
    <row r="35" ht="30" customHeight="1" spans="1:2" s="3" customFormat="1" x14ac:dyDescent="0.25">
      <c r="A35" s="3" t="s">
        <v>42</v>
      </c>
      <c r="B35" s="3">
        <f>COUNTIF('Needs Review'!M2:M2,"Rejected")</f>
        <v>0</v>
      </c>
    </row>
    <row r="36" ht="30" customHeight="1" spans="1:2" s="3" customFormat="1" x14ac:dyDescent="0.25">
      <c r="A36" s="3" t="s">
        <v>43</v>
      </c>
      <c r="B36" s="5">
        <f>'Reconciliation Bridge'!E3</f>
        <v>0</v>
      </c>
    </row>
    <row r="37" ht="30" customHeight="1" spans="1:2" s="3" customFormat="1" x14ac:dyDescent="0.25">
      <c r="A37" s="3" t="s">
        <v>44</v>
      </c>
      <c r="B37" s="5"/>
    </row>
    <row r="38" ht="30" customHeight="1" spans="1:2" s="3" customFormat="1" x14ac:dyDescent="0.25">
      <c r="A38" s="3" t="s">
        <v>45</v>
      </c>
      <c r="B38" s="5"/>
    </row>
    <row r="39" ht="30" customHeight="1" spans="1:2" s="3" customFormat="1" x14ac:dyDescent="0.25">
      <c r="A39" s="3" t="s">
        <v>46</v>
      </c>
      <c r="B39" s="3" t="s">
        <v>47</v>
      </c>
    </row>
    <row r="40" ht="30" customHeight="1" spans="1:2" s="3" customFormat="1" x14ac:dyDescent="0.25">
      <c r="A40" s="3" t="s">
        <v>48</v>
      </c>
      <c r="B40" s="6" t="s">
        <v>49</v>
      </c>
    </row>
    <row r="41" ht="30" customHeight="1" spans="1:2" s="3" customFormat="1" x14ac:dyDescent="0.25">
      <c r="A41" s="3" t="s">
        <v>50</v>
      </c>
      <c r="B41" s="3" t="s">
        <v>51</v>
      </c>
    </row>
    <row r="42" ht="30" customHeight="1" spans="1:2" s="3" customFormat="1" x14ac:dyDescent="0.25">
      <c r="A42" s="3" t="s">
        <v>52</v>
      </c>
      <c r="B42" s="3" t="s">
        <v>53</v>
      </c>
    </row>
  </sheetData>
  <autoFilter ref="A1:B42"/>
  <hyperlinks>
    <hyperlink ref="B40" r:id="rId1" location="#'Needs Review'!A1"/>
    <hyperlink ref="B41" r:id="rId2" location="#'Review Sign-off'!A1"/>
    <hyperlink ref="B42" r:id="rId3" location="#'Export Metadata'!A1"/>
  </hyperlinks>
  <pageMargins left="0.7" right="0.7" top="0.75" bottom="0.75" header="0.3" footer="0.3"/>
  <pageSetup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5" customWidth="1"/>
    <col min="4" max="4" width="27" customWidth="1"/>
    <col min="5" max="5" width="19" style="7" customWidth="1"/>
    <col min="6" max="6" width="15" customWidth="1"/>
    <col min="7" max="7" width="27" customWidth="1"/>
    <col min="8" max="8" width="19" style="7" customWidth="1"/>
    <col min="9" max="9" width="25" customWidth="1"/>
    <col min="10" max="10" width="13" customWidth="1"/>
    <col min="11" max="11" width="27" customWidth="1"/>
    <col min="12" max="12" width="65" customWidth="1"/>
    <col min="13" max="13" width="15" customWidth="1"/>
    <col min="14" max="14" width="42" customWidth="1"/>
    <col min="15" max="16" width="16" customWidth="1"/>
    <col min="17" max="17" width="18" customWidth="1"/>
    <col min="18" max="21" width="30" customWidth="1"/>
  </cols>
  <sheetData>
    <row r="1" ht="32" customHeight="1" spans="1:21" s="1" customFormat="1" x14ac:dyDescent="0.25">
      <c r="A1" s="2" t="s">
        <v>54</v>
      </c>
      <c r="B1" s="2" t="s">
        <v>55</v>
      </c>
      <c r="C1" s="2" t="s">
        <v>56</v>
      </c>
      <c r="D1" s="2" t="s">
        <v>57</v>
      </c>
      <c r="E1" s="8" t="s">
        <v>58</v>
      </c>
      <c r="F1" s="2" t="s">
        <v>59</v>
      </c>
      <c r="G1" s="2" t="s">
        <v>60</v>
      </c>
      <c r="H1" s="8" t="s">
        <v>61</v>
      </c>
      <c r="I1" s="2" t="s">
        <v>62</v>
      </c>
      <c r="J1" s="2" t="s">
        <v>63</v>
      </c>
      <c r="K1" s="2" t="s">
        <v>64</v>
      </c>
      <c r="L1" s="2" t="s">
        <v>65</v>
      </c>
      <c r="M1" s="2" t="s">
        <v>66</v>
      </c>
      <c r="N1" s="2" t="s">
        <v>67</v>
      </c>
      <c r="O1" s="2" t="s">
        <v>68</v>
      </c>
      <c r="P1" s="2" t="s">
        <v>69</v>
      </c>
      <c r="Q1" s="2" t="s">
        <v>70</v>
      </c>
      <c r="R1" s="2" t="s">
        <v>71</v>
      </c>
      <c r="S1" s="2" t="s">
        <v>72</v>
      </c>
      <c r="T1" s="2" t="s">
        <v>73</v>
      </c>
      <c r="U1" s="2" t="s">
        <v>74</v>
      </c>
    </row>
    <row r="2" ht="42" customHeight="1" spans="1:21" s="9" customFormat="1" x14ac:dyDescent="0.25">
      <c r="A2" s="10" t="s">
        <v>75</v>
      </c>
      <c r="B2" s="10" t="s">
        <v>76</v>
      </c>
      <c r="C2" s="11">
        <v>46218</v>
      </c>
      <c r="D2" s="10" t="s">
        <v>77</v>
      </c>
      <c r="E2" s="12">
        <v>-100</v>
      </c>
      <c r="F2" s="11">
        <v>46218</v>
      </c>
      <c r="G2" s="10" t="s">
        <v>77</v>
      </c>
      <c r="H2" s="12">
        <v>-100</v>
      </c>
      <c r="I2" s="10" t="s">
        <v>78</v>
      </c>
      <c r="J2" s="10">
        <v>0</v>
      </c>
      <c r="K2" s="10" t="s">
        <v>79</v>
      </c>
      <c r="L2" s="10" t="s">
        <v>80</v>
      </c>
      <c r="M2" s="10" t="s">
        <v>81</v>
      </c>
      <c r="N2" s="9"/>
      <c r="O2" s="10">
        <v>2</v>
      </c>
      <c r="P2" s="10">
        <v>2</v>
      </c>
      <c r="Q2" s="10" t="s">
        <v>82</v>
      </c>
      <c r="R2" s="13" t="s">
        <v>83</v>
      </c>
      <c r="S2" s="13" t="s">
        <v>84</v>
      </c>
      <c r="T2" s="13" t="s">
        <v>85</v>
      </c>
      <c r="U2" s="13" t="s">
        <v>86</v>
      </c>
    </row>
  </sheetData>
  <autoFilter ref="A1:U2"/>
  <hyperlinks>
    <hyperlink ref="R2" r:id="rId1" location="#'Parsed Supplier Source'!A3"/>
    <hyperlink ref="S2" r:id="rId2" location="#'Parsed Supplier Source'!A4"/>
    <hyperlink ref="T2" r:id="rId3" location="#'Parsed Ledger Source'!A3"/>
    <hyperlink ref="U2" r:id="rId4" location="#'Parsed Ledger Source'!A4"/>
  </hyperlink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25" customWidth="1"/>
    <col min="3" max="4" width="43" customWidth="1"/>
    <col min="5" max="7" width="19" style="7" customWidth="1"/>
    <col min="8" max="8" width="65" customWidth="1"/>
    <col min="9" max="10" width="58" customWidth="1"/>
    <col min="11" max="11" width="18" customWidth="1"/>
    <col min="12" max="12" width="42" customWidth="1"/>
    <col min="13" max="13" width="18" customWidth="1"/>
    <col min="14" max="15" width="16" customWidth="1"/>
  </cols>
  <sheetData>
    <row r="1" ht="32" customHeight="1" spans="1:15" s="1" customFormat="1" x14ac:dyDescent="0.25">
      <c r="A1" s="2" t="s">
        <v>54</v>
      </c>
      <c r="B1" s="2" t="s">
        <v>87</v>
      </c>
      <c r="C1" s="2" t="s">
        <v>88</v>
      </c>
      <c r="D1" s="2" t="s">
        <v>89</v>
      </c>
      <c r="E1" s="8" t="s">
        <v>90</v>
      </c>
      <c r="F1" s="8" t="s">
        <v>91</v>
      </c>
      <c r="G1" s="8" t="s">
        <v>92</v>
      </c>
      <c r="H1" s="2" t="s">
        <v>65</v>
      </c>
      <c r="I1" s="2" t="s">
        <v>93</v>
      </c>
      <c r="J1" s="2" t="s">
        <v>94</v>
      </c>
      <c r="K1" s="2" t="s">
        <v>95</v>
      </c>
      <c r="L1" s="2" t="s">
        <v>96</v>
      </c>
      <c r="M1" s="2" t="s">
        <v>66</v>
      </c>
      <c r="N1" s="2" t="s">
        <v>68</v>
      </c>
      <c r="O1" s="2" t="s">
        <v>69</v>
      </c>
    </row>
  </sheetData>
  <autoFilter ref="A1:O1"/>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9" customWidth="1"/>
    <col min="5" max="5" width="28" customWidth="1"/>
    <col min="6" max="6" width="37" customWidth="1"/>
    <col min="7" max="7" width="55" customWidth="1"/>
    <col min="8" max="8" width="19" style="7" customWidth="1"/>
    <col min="9" max="9" width="60" customWidth="1"/>
    <col min="10" max="10" width="42" customWidth="1"/>
    <col min="11" max="11" width="15" customWidth="1"/>
  </cols>
  <sheetData>
    <row r="1" ht="32" customHeight="1" spans="1:11" s="1" customFormat="1" x14ac:dyDescent="0.25">
      <c r="A1" s="2" t="s">
        <v>54</v>
      </c>
      <c r="B1" s="2" t="s">
        <v>97</v>
      </c>
      <c r="C1" s="2" t="s">
        <v>98</v>
      </c>
      <c r="D1" s="2" t="s">
        <v>99</v>
      </c>
      <c r="E1" s="2" t="s">
        <v>100</v>
      </c>
      <c r="F1" s="2" t="s">
        <v>101</v>
      </c>
      <c r="G1" s="2" t="s">
        <v>102</v>
      </c>
      <c r="H1" s="8" t="s">
        <v>103</v>
      </c>
      <c r="I1" s="2" t="s">
        <v>104</v>
      </c>
      <c r="J1" s="2" t="s">
        <v>105</v>
      </c>
      <c r="K1" s="2" t="s">
        <v>106</v>
      </c>
    </row>
  </sheetData>
  <autoFilter ref="A1:K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pane ySplit="1" topLeftCell="A2" activePane="bottomLeft" state="frozen"/>
      <selection pane="bottomLeft"/>
    </sheetView>
  </sheetViews>
  <sheetFormatPr defaultRowHeight="15" outlineLevelRow="0" outlineLevelCol="0" x14ac:dyDescent="55"/>
  <cols>
    <col min="1" max="1" width="26" customWidth="1"/>
    <col min="2" max="2" width="28" customWidth="1"/>
    <col min="3" max="3" width="20" style="7" customWidth="1"/>
    <col min="4" max="4" width="27" style="7" customWidth="1"/>
    <col min="5" max="5" width="28" style="7" customWidth="1"/>
    <col min="6" max="6" width="70" customWidth="1"/>
    <col min="7" max="7" width="20" customWidth="1"/>
    <col min="8" max="8" width="44" customWidth="1"/>
  </cols>
  <sheetData>
    <row r="1" ht="32" customHeight="1" spans="1:8" s="1" customFormat="1" x14ac:dyDescent="0.25">
      <c r="A1" s="2" t="s">
        <v>54</v>
      </c>
      <c r="B1" s="2" t="s">
        <v>87</v>
      </c>
      <c r="C1" s="8" t="s">
        <v>58</v>
      </c>
      <c r="D1" s="8" t="s">
        <v>61</v>
      </c>
      <c r="E1" s="8" t="s">
        <v>107</v>
      </c>
      <c r="F1" s="2" t="s">
        <v>108</v>
      </c>
      <c r="G1" s="2" t="s">
        <v>109</v>
      </c>
      <c r="H1" s="2" t="s">
        <v>110</v>
      </c>
    </row>
    <row r="3" ht="32" customHeight="1" spans="4:5" x14ac:dyDescent="0.25">
      <c r="D3" s="14" t="s">
        <v>43</v>
      </c>
      <c r="E3" s="7">
        <f>0</f>
        <v>0</v>
      </c>
    </row>
    <row r="4" ht="32" customHeight="1" spans="4:5" x14ac:dyDescent="0.25">
      <c r="D4" s="14" t="s">
        <v>23</v>
      </c>
      <c r="E4" s="7"/>
    </row>
    <row r="5" ht="32" customHeight="1" spans="4:5" x14ac:dyDescent="0.25">
      <c r="D5" s="14" t="s">
        <v>44</v>
      </c>
      <c r="E5" s="7"/>
    </row>
    <row r="6" ht="32" customHeight="1" spans="4:5" x14ac:dyDescent="0.25">
      <c r="D6" s="14" t="s">
        <v>24</v>
      </c>
      <c r="E6" s="7"/>
    </row>
    <row r="7" ht="32" customHeight="1" spans="4:5" x14ac:dyDescent="0.25">
      <c r="D7" s="14" t="s">
        <v>45</v>
      </c>
      <c r="E7" s="7"/>
    </row>
    <row r="9" spans="1:8" x14ac:dyDescent="0.25">
      <c r="A9" s="15" t="s">
        <v>111</v>
      </c>
      <c r="B9" s="15"/>
      <c r="C9" s="15"/>
      <c r="D9" s="15"/>
      <c r="E9" s="15"/>
      <c r="F9" s="15"/>
      <c r="G9" s="15"/>
      <c r="H9" s="15"/>
    </row>
    <row r="10" spans="1:8" x14ac:dyDescent="0.25">
      <c r="A10" s="15"/>
      <c r="B10" s="15"/>
      <c r="C10" s="15"/>
      <c r="D10" s="15"/>
      <c r="E10" s="15"/>
      <c r="F10" s="15"/>
      <c r="G10" s="15"/>
      <c r="H10" s="15"/>
    </row>
  </sheetData>
  <autoFilter ref="A1:H1"/>
  <mergeCells count="1">
    <mergeCell ref="A9:H10"/>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rightToLeft="1">
      <pane ySplit="1" topLeftCell="A2" activePane="bottomLeft" state="frozen"/>
      <selection pane="bottomLeft"/>
    </sheetView>
  </sheetViews>
  <sheetFormatPr defaultRowHeight="15" outlineLevelRow="0" outlineLevelCol="0" x14ac:dyDescent="55"/>
  <cols>
    <col min="1" max="1" width="35" customWidth="1"/>
    <col min="2" max="2" width="100" customWidth="1"/>
  </cols>
  <sheetData>
    <row r="1" ht="32" customHeight="1" spans="1:2" s="1" customFormat="1" x14ac:dyDescent="0.25">
      <c r="A1" s="2" t="s">
        <v>0</v>
      </c>
      <c r="B1" s="2" t="s">
        <v>1</v>
      </c>
    </row>
    <row r="2" ht="42" customHeight="1" spans="1:2" x14ac:dyDescent="0.25">
      <c r="A2" s="3" t="s">
        <v>112</v>
      </c>
      <c r="B2" s="3" t="s">
        <v>113</v>
      </c>
    </row>
    <row r="3" ht="42" customHeight="1" spans="1:2" x14ac:dyDescent="0.25">
      <c r="A3" s="3" t="s">
        <v>114</v>
      </c>
    </row>
    <row r="4" ht="42" customHeight="1" spans="1:2" x14ac:dyDescent="0.25">
      <c r="A4" s="3" t="s">
        <v>115</v>
      </c>
      <c r="B4" s="3" t="s">
        <v>116</v>
      </c>
    </row>
    <row r="5" ht="42" customHeight="1" spans="1:2" x14ac:dyDescent="0.25">
      <c r="A5" s="3" t="s">
        <v>117</v>
      </c>
      <c r="B5" s="3" t="s">
        <v>118</v>
      </c>
    </row>
    <row r="6" ht="42" customHeight="1" spans="1:2" x14ac:dyDescent="0.25">
      <c r="A6" s="3" t="s">
        <v>119</v>
      </c>
      <c r="B6" s="3" t="s">
        <v>120</v>
      </c>
    </row>
    <row r="7" ht="42" customHeight="1" spans="1:2" x14ac:dyDescent="0.25">
      <c r="A7" s="3" t="s">
        <v>121</v>
      </c>
      <c r="B7" s="3" t="s">
        <v>122</v>
      </c>
    </row>
    <row r="8" ht="42" customHeight="1" spans="1:2" x14ac:dyDescent="0.25">
      <c r="A8" s="3" t="s">
        <v>2</v>
      </c>
      <c r="B8" s="3" t="s">
        <v>123</v>
      </c>
    </row>
    <row r="9" ht="42" customHeight="1" spans="1:2" x14ac:dyDescent="0.25">
      <c r="A9" s="3" t="s">
        <v>124</v>
      </c>
      <c r="B9" s="16" t="s">
        <v>125</v>
      </c>
    </row>
  </sheetData>
  <autoFilter ref="A1:B9"/>
  <hyperlinks>
    <hyperlink ref="B9" r:id="rId1" location="#'Review History'!A1"/>
  </hyperlinks>
  <pageMargins left="0.7" right="0.7" top="0.75" bottom="0.75" header="0.3" footer="0.3"/>
  <pageSetup orientation="portrait"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
  <sheetViews>
    <sheetView workbookViewId="0" rightToLeft="1">
      <pane ySplit="1" topLeftCell="A2" activePane="bottomLeft" state="frozen"/>
      <selection pane="bottomLeft"/>
    </sheetView>
  </sheetViews>
  <sheetFormatPr defaultRowHeight="15" outlineLevelRow="0" outlineLevelCol="0" x14ac:dyDescent="55"/>
  <cols>
    <col min="1" max="1" width="29" customWidth="1"/>
    <col min="2" max="3" width="45" customWidth="1"/>
  </cols>
  <sheetData>
    <row r="1" ht="28" customHeight="1" spans="1:3" s="17" customFormat="1" x14ac:dyDescent="0.25">
      <c r="A1" s="17" t="s">
        <v>126</v>
      </c>
      <c r="B1" s="17" t="s">
        <v>127</v>
      </c>
      <c r="C1" s="17" t="s">
        <v>128</v>
      </c>
    </row>
    <row r="2" spans="1:3" s="3" customFormat="1" x14ac:dyDescent="0.25">
      <c r="A2" s="3" t="s">
        <v>28</v>
      </c>
      <c r="B2" s="3" t="s">
        <v>129</v>
      </c>
      <c r="C2" s="3" t="s">
        <v>130</v>
      </c>
    </row>
    <row r="3" spans="1:3" s="3" customFormat="1" x14ac:dyDescent="0.25">
      <c r="A3" s="3" t="s">
        <v>34</v>
      </c>
      <c r="B3" s="3" t="s">
        <v>131</v>
      </c>
      <c r="C3" s="3" t="s">
        <v>130</v>
      </c>
    </row>
    <row r="4" spans="1:3" s="3" customFormat="1" x14ac:dyDescent="0.25">
      <c r="A4" s="3" t="s">
        <v>28</v>
      </c>
      <c r="B4" s="3" t="s">
        <v>132</v>
      </c>
      <c r="C4" s="3" t="s">
        <v>130</v>
      </c>
    </row>
    <row r="5" spans="1:3" s="3" customFormat="1" x14ac:dyDescent="0.25">
      <c r="A5" s="3" t="s">
        <v>34</v>
      </c>
      <c r="B5" s="3" t="s">
        <v>133</v>
      </c>
      <c r="C5" s="3" t="s">
        <v>130</v>
      </c>
    </row>
    <row r="6" spans="1:3" s="3" customFormat="1" x14ac:dyDescent="0.25">
      <c r="A6" s="3" t="s">
        <v>134</v>
      </c>
      <c r="B6" s="3" t="s">
        <v>80</v>
      </c>
      <c r="C6" s="3" t="s">
        <v>135</v>
      </c>
    </row>
  </sheetData>
  <autoFilter ref="A1:C6"/>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20" customWidth="1"/>
    <col min="3" max="3" width="16" customWidth="1"/>
    <col min="4" max="4" width="42" customWidth="1"/>
    <col min="5" max="5" width="45" customWidth="1"/>
    <col min="6" max="6" width="16" customWidth="1"/>
    <col min="7" max="7" width="17" customWidth="1"/>
    <col min="8" max="10" width="16" customWidth="1"/>
    <col min="11" max="11" width="45" customWidth="1"/>
    <col min="12" max="12" width="21" customWidth="1"/>
    <col min="13" max="13" width="22" customWidth="1"/>
    <col min="14" max="14" width="21" customWidth="1"/>
    <col min="15" max="15" width="16" customWidth="1"/>
    <col min="16" max="16" width="18" customWidth="1"/>
    <col min="17" max="17" width="21" customWidth="1"/>
    <col min="18" max="18" width="16" customWidth="1"/>
    <col min="19" max="19" width="16" style="7" customWidth="1"/>
    <col min="20" max="20" width="17" customWidth="1"/>
    <col min="21" max="21" width="21" customWidth="1"/>
    <col min="22" max="22" width="19" customWidth="1"/>
    <col min="23" max="23" width="21" customWidth="1"/>
  </cols>
  <sheetData>
    <row r="1" ht="28" customHeight="1" spans="1:23" s="17" customFormat="1" x14ac:dyDescent="0.25">
      <c r="A1" s="17" t="s">
        <v>54</v>
      </c>
      <c r="B1" s="17" t="s">
        <v>87</v>
      </c>
      <c r="C1" s="17" t="s">
        <v>66</v>
      </c>
      <c r="D1" s="17" t="s">
        <v>64</v>
      </c>
      <c r="E1" s="17" t="s">
        <v>65</v>
      </c>
      <c r="F1" s="17" t="s">
        <v>97</v>
      </c>
      <c r="G1" s="17" t="s">
        <v>136</v>
      </c>
      <c r="H1" s="17" t="s">
        <v>137</v>
      </c>
      <c r="I1" s="17" t="s">
        <v>138</v>
      </c>
      <c r="J1" s="17" t="s">
        <v>139</v>
      </c>
      <c r="K1" s="17" t="s">
        <v>98</v>
      </c>
      <c r="L1" s="17" t="s">
        <v>140</v>
      </c>
      <c r="M1" s="17" t="s">
        <v>141</v>
      </c>
      <c r="N1" s="17" t="s">
        <v>142</v>
      </c>
      <c r="O1" s="17" t="s">
        <v>143</v>
      </c>
      <c r="P1" s="17" t="s">
        <v>144</v>
      </c>
      <c r="Q1" s="17" t="s">
        <v>145</v>
      </c>
      <c r="R1" s="17" t="s">
        <v>6</v>
      </c>
      <c r="S1" s="18" t="s">
        <v>103</v>
      </c>
      <c r="T1" s="17" t="s">
        <v>105</v>
      </c>
      <c r="U1" s="17" t="s">
        <v>146</v>
      </c>
      <c r="V1" s="17" t="s">
        <v>147</v>
      </c>
      <c r="W1" s="17" t="s">
        <v>148</v>
      </c>
    </row>
    <row r="2" spans="1:23" s="3" customFormat="1" x14ac:dyDescent="0.25">
      <c r="A2" s="3" t="s">
        <v>75</v>
      </c>
      <c r="B2" s="3" t="s">
        <v>134</v>
      </c>
      <c r="C2" s="3" t="s">
        <v>81</v>
      </c>
      <c r="D2" s="3" t="s">
        <v>79</v>
      </c>
      <c r="E2" s="3" t="s">
        <v>80</v>
      </c>
      <c r="F2" s="3" t="s">
        <v>149</v>
      </c>
      <c r="G2" s="3" t="s">
        <v>150</v>
      </c>
      <c r="H2" s="3" t="s">
        <v>14</v>
      </c>
      <c r="I2" s="3">
        <v>2</v>
      </c>
      <c r="J2" s="3" t="s">
        <v>130</v>
      </c>
      <c r="K2" s="4">
        <v>46218</v>
      </c>
      <c r="L2" s="3" t="s">
        <v>77</v>
      </c>
      <c r="M2" s="3" t="s">
        <v>151</v>
      </c>
      <c r="N2" s="3" t="s">
        <v>152</v>
      </c>
      <c r="O2" s="3" t="s">
        <v>130</v>
      </c>
      <c r="P2" s="3" t="s">
        <v>77</v>
      </c>
      <c r="Q2" s="3" t="s">
        <v>151</v>
      </c>
      <c r="R2" s="3" t="s">
        <v>7</v>
      </c>
      <c r="S2" s="19">
        <v>-40</v>
      </c>
      <c r="T2" s="3" t="s">
        <v>83</v>
      </c>
      <c r="U2" s="3" t="s">
        <v>130</v>
      </c>
      <c r="V2" s="3" t="s">
        <v>130</v>
      </c>
      <c r="W2" s="3" t="s">
        <v>130</v>
      </c>
    </row>
    <row r="3" spans="1:23" s="3" customFormat="1" x14ac:dyDescent="0.25">
      <c r="A3" s="3" t="s">
        <v>75</v>
      </c>
      <c r="B3" s="3" t="s">
        <v>134</v>
      </c>
      <c r="C3" s="3" t="s">
        <v>81</v>
      </c>
      <c r="D3" s="3" t="s">
        <v>79</v>
      </c>
      <c r="E3" s="3" t="s">
        <v>80</v>
      </c>
      <c r="F3" s="3" t="s">
        <v>149</v>
      </c>
      <c r="G3" s="3" t="s">
        <v>153</v>
      </c>
      <c r="H3" s="3" t="s">
        <v>14</v>
      </c>
      <c r="I3" s="3">
        <v>3</v>
      </c>
      <c r="J3" s="3" t="s">
        <v>130</v>
      </c>
      <c r="K3" s="4">
        <v>46218</v>
      </c>
      <c r="L3" s="3" t="s">
        <v>77</v>
      </c>
      <c r="M3" s="3" t="s">
        <v>154</v>
      </c>
      <c r="N3" s="3" t="s">
        <v>155</v>
      </c>
      <c r="O3" s="3" t="s">
        <v>130</v>
      </c>
      <c r="P3" s="3" t="s">
        <v>77</v>
      </c>
      <c r="Q3" s="3" t="s">
        <v>154</v>
      </c>
      <c r="R3" s="3" t="s">
        <v>7</v>
      </c>
      <c r="S3" s="19">
        <v>-60</v>
      </c>
      <c r="T3" s="3" t="s">
        <v>84</v>
      </c>
      <c r="U3" s="3" t="s">
        <v>130</v>
      </c>
      <c r="V3" s="3" t="s">
        <v>130</v>
      </c>
      <c r="W3" s="3" t="s">
        <v>130</v>
      </c>
    </row>
    <row r="4" spans="1:23" s="3" customFormat="1" x14ac:dyDescent="0.25">
      <c r="A4" s="3" t="s">
        <v>75</v>
      </c>
      <c r="B4" s="3" t="s">
        <v>134</v>
      </c>
      <c r="C4" s="3" t="s">
        <v>81</v>
      </c>
      <c r="D4" s="3" t="s">
        <v>79</v>
      </c>
      <c r="E4" s="3" t="s">
        <v>80</v>
      </c>
      <c r="F4" s="3" t="s">
        <v>156</v>
      </c>
      <c r="G4" s="3" t="s">
        <v>157</v>
      </c>
      <c r="H4" s="3" t="s">
        <v>14</v>
      </c>
      <c r="I4" s="3">
        <v>2</v>
      </c>
      <c r="J4" s="3" t="s">
        <v>130</v>
      </c>
      <c r="K4" s="4">
        <v>46218</v>
      </c>
      <c r="L4" s="3" t="s">
        <v>77</v>
      </c>
      <c r="M4" s="3" t="s">
        <v>158</v>
      </c>
      <c r="N4" s="3" t="s">
        <v>159</v>
      </c>
      <c r="O4" s="3" t="s">
        <v>130</v>
      </c>
      <c r="P4" s="3" t="s">
        <v>77</v>
      </c>
      <c r="Q4" s="3" t="s">
        <v>158</v>
      </c>
      <c r="R4" s="3" t="s">
        <v>7</v>
      </c>
      <c r="S4" s="19">
        <v>-25</v>
      </c>
      <c r="T4" s="3" t="s">
        <v>85</v>
      </c>
      <c r="U4" s="3" t="s">
        <v>130</v>
      </c>
      <c r="V4" s="3" t="s">
        <v>130</v>
      </c>
      <c r="W4" s="3" t="s">
        <v>130</v>
      </c>
    </row>
    <row r="5" spans="1:23" s="3" customFormat="1" x14ac:dyDescent="0.25">
      <c r="A5" s="3" t="s">
        <v>75</v>
      </c>
      <c r="B5" s="3" t="s">
        <v>134</v>
      </c>
      <c r="C5" s="3" t="s">
        <v>81</v>
      </c>
      <c r="D5" s="3" t="s">
        <v>79</v>
      </c>
      <c r="E5" s="3" t="s">
        <v>80</v>
      </c>
      <c r="F5" s="3" t="s">
        <v>156</v>
      </c>
      <c r="G5" s="3" t="s">
        <v>160</v>
      </c>
      <c r="H5" s="3" t="s">
        <v>14</v>
      </c>
      <c r="I5" s="3">
        <v>3</v>
      </c>
      <c r="J5" s="3" t="s">
        <v>130</v>
      </c>
      <c r="K5" s="4">
        <v>46218</v>
      </c>
      <c r="L5" s="3" t="s">
        <v>77</v>
      </c>
      <c r="M5" s="3" t="s">
        <v>161</v>
      </c>
      <c r="N5" s="3" t="s">
        <v>162</v>
      </c>
      <c r="O5" s="3" t="s">
        <v>130</v>
      </c>
      <c r="P5" s="3" t="s">
        <v>77</v>
      </c>
      <c r="Q5" s="3" t="s">
        <v>161</v>
      </c>
      <c r="R5" s="3" t="s">
        <v>7</v>
      </c>
      <c r="S5" s="19">
        <v>-75</v>
      </c>
      <c r="T5" s="3" t="s">
        <v>86</v>
      </c>
      <c r="U5" s="3" t="s">
        <v>130</v>
      </c>
      <c r="V5" s="3" t="s">
        <v>130</v>
      </c>
      <c r="W5" s="3" t="s">
        <v>130</v>
      </c>
    </row>
  </sheetData>
  <autoFilter ref="A1:W5"/>
  <hyperlinks>
    <hyperlink ref="T2" r:id="rId1" location="#'Parsed Supplier Source'!A3"/>
    <hyperlink ref="T3" r:id="rId2" location="#'Parsed Supplier Source'!A4"/>
    <hyperlink ref="T4" r:id="rId3" location="#'Parsed Ledger Source'!A3"/>
    <hyperlink ref="T5" r:id="rId4" location="#'Parsed Ledger Source'!A4"/>
  </hyperlink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
  <sheetViews>
    <sheetView workbookViewId="0" rightToLeft="1">
      <pane ySplit="1" topLeftCell="A2" activePane="bottomLeft" state="frozen"/>
      <selection pane="bottomLeft"/>
    </sheetView>
  </sheetViews>
  <sheetFormatPr defaultRowHeight="15" outlineLevelRow="0" outlineLevelCol="0" x14ac:dyDescent="55"/>
  <cols>
    <col min="1" max="1" width="45" customWidth="1"/>
    <col min="2" max="2" width="16" customWidth="1"/>
    <col min="3" max="3" width="18" customWidth="1"/>
    <col min="4" max="4" width="45" customWidth="1"/>
  </cols>
  <sheetData>
    <row r="1" ht="28" customHeight="1" spans="1:4" s="17" customFormat="1" x14ac:dyDescent="0.25">
      <c r="A1" s="17" t="s">
        <v>163</v>
      </c>
      <c r="B1" s="17" t="s">
        <v>164</v>
      </c>
      <c r="C1" s="17" t="s">
        <v>165</v>
      </c>
      <c r="D1" s="17" t="s">
        <v>96</v>
      </c>
    </row>
    <row r="2" spans="1:4" s="3" customFormat="1" x14ac:dyDescent="0.25">
      <c r="A2" s="4">
        <v>46294.4236450926</v>
      </c>
      <c r="B2" s="3" t="s">
        <v>166</v>
      </c>
      <c r="C2" s="3" t="s">
        <v>130</v>
      </c>
      <c r="D2" s="3" t="s">
        <v>167</v>
      </c>
    </row>
  </sheetData>
  <autoFilter ref="A1:D2"/>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5"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150</v>
      </c>
      <c r="B2" s="3" t="s">
        <v>14</v>
      </c>
      <c r="C2" s="3">
        <v>2</v>
      </c>
      <c r="D2" s="4">
        <v>46218</v>
      </c>
      <c r="E2" s="3" t="s">
        <v>77</v>
      </c>
      <c r="F2" s="3" t="s">
        <v>178</v>
      </c>
      <c r="G2" s="3" t="s">
        <v>179</v>
      </c>
      <c r="H2" s="19">
        <v>-40</v>
      </c>
      <c r="I2" s="3" t="s">
        <v>180</v>
      </c>
      <c r="J2" s="3" t="s">
        <v>130</v>
      </c>
    </row>
    <row r="3" spans="1:10" s="3" customFormat="1" x14ac:dyDescent="0.25">
      <c r="A3" s="3" t="s">
        <v>153</v>
      </c>
      <c r="B3" s="3" t="s">
        <v>14</v>
      </c>
      <c r="C3" s="3">
        <v>3</v>
      </c>
      <c r="D3" s="4">
        <v>46218</v>
      </c>
      <c r="E3" s="3" t="s">
        <v>77</v>
      </c>
      <c r="F3" s="3" t="s">
        <v>178</v>
      </c>
      <c r="G3" s="3" t="s">
        <v>181</v>
      </c>
      <c r="H3" s="19">
        <v>-60</v>
      </c>
      <c r="I3" s="3" t="s">
        <v>182</v>
      </c>
      <c r="J3" s="3" t="s">
        <v>130</v>
      </c>
    </row>
  </sheetData>
  <autoFilter ref="A1:J3"/>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3"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157</v>
      </c>
      <c r="B2" s="3" t="s">
        <v>14</v>
      </c>
      <c r="C2" s="3">
        <v>2</v>
      </c>
      <c r="D2" s="4">
        <v>46218</v>
      </c>
      <c r="E2" s="3" t="s">
        <v>77</v>
      </c>
      <c r="F2" s="3" t="s">
        <v>178</v>
      </c>
      <c r="G2" s="3" t="s">
        <v>183</v>
      </c>
      <c r="H2" s="19">
        <v>-25</v>
      </c>
      <c r="I2" s="3" t="s">
        <v>184</v>
      </c>
      <c r="J2" s="3" t="s">
        <v>130</v>
      </c>
    </row>
    <row r="3" spans="1:10" s="3" customFormat="1" x14ac:dyDescent="0.25">
      <c r="A3" s="3" t="s">
        <v>160</v>
      </c>
      <c r="B3" s="3" t="s">
        <v>14</v>
      </c>
      <c r="C3" s="3">
        <v>3</v>
      </c>
      <c r="D3" s="4">
        <v>46218</v>
      </c>
      <c r="E3" s="3" t="s">
        <v>77</v>
      </c>
      <c r="F3" s="3" t="s">
        <v>178</v>
      </c>
      <c r="G3" s="3" t="s">
        <v>185</v>
      </c>
      <c r="H3" s="19">
        <v>-75</v>
      </c>
      <c r="I3" s="3" t="s">
        <v>186</v>
      </c>
      <c r="J3" s="3" t="s">
        <v>130</v>
      </c>
    </row>
  </sheetData>
  <autoFilter ref="A1:J3"/>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rightToLeft="1">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45" customWidth="1"/>
  </cols>
  <sheetData>
    <row r="1" ht="28" customHeight="1" spans="1:4" s="17" customFormat="1" x14ac:dyDescent="0.25">
      <c r="A1" s="17" t="s">
        <v>187</v>
      </c>
      <c r="B1" s="17" t="s">
        <v>170</v>
      </c>
      <c r="C1" s="17" t="s">
        <v>188</v>
      </c>
      <c r="D1" s="17" t="s">
        <v>189</v>
      </c>
    </row>
    <row r="2" spans="1:4" s="3" customFormat="1" x14ac:dyDescent="0.25">
      <c r="A2" s="3" t="s">
        <v>190</v>
      </c>
      <c r="B2" s="3">
        <v>1</v>
      </c>
      <c r="C2" s="3" t="s">
        <v>191</v>
      </c>
      <c r="D2" s="3" t="s">
        <v>192</v>
      </c>
    </row>
    <row r="3" spans="1:4" s="3" customFormat="1" x14ac:dyDescent="0.25">
      <c r="A3" s="3" t="s">
        <v>193</v>
      </c>
      <c r="B3" s="3">
        <v>1</v>
      </c>
      <c r="C3" s="3" t="s">
        <v>191</v>
      </c>
      <c r="D3" s="3" t="s">
        <v>192</v>
      </c>
    </row>
  </sheetData>
  <autoFilter ref="A1:D3"/>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rightToLeft="1">
      <pane ySplit="1" topLeftCell="A2" activePane="bottomLeft" state="frozen"/>
      <selection pane="bottomLeft"/>
    </sheetView>
  </sheetViews>
  <sheetFormatPr defaultRowHeight="15" outlineLevelRow="0" outlineLevelCol="0" x14ac:dyDescent="55"/>
  <cols>
    <col min="1" max="1" width="33" customWidth="1"/>
    <col min="2" max="2" width="45" customWidth="1"/>
  </cols>
  <sheetData>
    <row r="1" ht="28" customHeight="1" spans="1:2" s="17" customFormat="1" x14ac:dyDescent="0.25">
      <c r="A1" s="17" t="s">
        <v>194</v>
      </c>
      <c r="B1" s="17" t="s">
        <v>195</v>
      </c>
    </row>
    <row r="2" spans="1:2" s="3" customFormat="1" x14ac:dyDescent="0.25">
      <c r="A2" s="3" t="s">
        <v>196</v>
      </c>
      <c r="B2" s="3" t="s">
        <v>197</v>
      </c>
    </row>
    <row r="3" spans="1:2" s="3" customFormat="1" x14ac:dyDescent="0.25">
      <c r="A3" s="3" t="s">
        <v>198</v>
      </c>
      <c r="B3" s="3" t="s">
        <v>199</v>
      </c>
    </row>
    <row r="4" spans="1:2" s="3" customFormat="1" x14ac:dyDescent="0.25">
      <c r="A4" s="3" t="s">
        <v>200</v>
      </c>
      <c r="B4" s="3" t="s">
        <v>199</v>
      </c>
    </row>
    <row r="5" spans="1:2" s="3" customFormat="1" x14ac:dyDescent="0.25">
      <c r="A5" s="3" t="s">
        <v>201</v>
      </c>
      <c r="B5" s="3" t="s">
        <v>202</v>
      </c>
    </row>
    <row r="6" spans="1:2" s="3" customFormat="1" x14ac:dyDescent="0.25">
      <c r="A6" s="3" t="s">
        <v>203</v>
      </c>
      <c r="B6" s="3" t="s">
        <v>202</v>
      </c>
    </row>
    <row r="7" spans="1:2" s="3" customFormat="1" x14ac:dyDescent="0.25">
      <c r="A7" s="3" t="s">
        <v>204</v>
      </c>
      <c r="B7" s="3" t="s">
        <v>205</v>
      </c>
    </row>
    <row r="8" spans="1:2" s="3" customFormat="1" x14ac:dyDescent="0.25">
      <c r="A8" s="3" t="s">
        <v>206</v>
      </c>
      <c r="B8" s="3" t="s">
        <v>205</v>
      </c>
    </row>
    <row r="9" spans="1:2" s="3" customFormat="1" x14ac:dyDescent="0.25">
      <c r="A9" s="3" t="s">
        <v>207</v>
      </c>
      <c r="B9" s="3" t="s">
        <v>208</v>
      </c>
    </row>
    <row r="10" spans="1:2" s="3" customFormat="1" x14ac:dyDescent="0.25">
      <c r="A10" s="3" t="s">
        <v>209</v>
      </c>
      <c r="B10" s="3" t="s">
        <v>208</v>
      </c>
    </row>
    <row r="11" spans="1:2" s="3" customFormat="1" x14ac:dyDescent="0.25">
      <c r="A11" s="3" t="s">
        <v>210</v>
      </c>
      <c r="B11" s="3" t="s">
        <v>211</v>
      </c>
    </row>
    <row r="12" spans="1:2" s="3" customFormat="1" x14ac:dyDescent="0.25">
      <c r="A12" s="3" t="s">
        <v>212</v>
      </c>
      <c r="B12" s="3" t="s">
        <v>213</v>
      </c>
    </row>
    <row r="13" spans="1:2" s="3" customFormat="1" x14ac:dyDescent="0.25">
      <c r="A13" s="3" t="s">
        <v>214</v>
      </c>
      <c r="B13" s="3" t="s">
        <v>215</v>
      </c>
    </row>
    <row r="14" spans="1:2" s="3" customFormat="1" x14ac:dyDescent="0.25">
      <c r="A14" s="3" t="s">
        <v>216</v>
      </c>
      <c r="B14" s="3" t="s">
        <v>130</v>
      </c>
    </row>
    <row r="15" spans="1:2" s="3" customFormat="1" x14ac:dyDescent="0.25">
      <c r="A15" s="3" t="s">
        <v>217</v>
      </c>
      <c r="B15" s="3" t="s">
        <v>130</v>
      </c>
    </row>
    <row r="16" spans="1:2" s="3" customFormat="1" x14ac:dyDescent="0.25">
      <c r="A16" s="3" t="s">
        <v>218</v>
      </c>
      <c r="B16" s="3" t="s">
        <v>219</v>
      </c>
    </row>
  </sheetData>
  <autoFilter ref="A1:B16"/>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5"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151</v>
      </c>
      <c r="D3" s="3" t="s">
        <v>130</v>
      </c>
      <c r="E3" s="3" t="s">
        <v>180</v>
      </c>
      <c r="F3" s="3" t="s">
        <v>237</v>
      </c>
      <c r="G3" s="3" t="s">
        <v>77</v>
      </c>
      <c r="H3" s="3" t="s">
        <v>130</v>
      </c>
      <c r="I3" s="3" t="s">
        <v>152</v>
      </c>
      <c r="J3" s="3" t="s">
        <v>179</v>
      </c>
      <c r="K3" s="3" t="s">
        <v>7</v>
      </c>
      <c r="L3" s="3" t="s">
        <v>130</v>
      </c>
    </row>
    <row r="4" spans="1:12" s="3" customFormat="1" x14ac:dyDescent="0.25">
      <c r="A4" s="3">
        <v>3</v>
      </c>
      <c r="B4" s="3" t="s">
        <v>236</v>
      </c>
      <c r="C4" s="3" t="s">
        <v>154</v>
      </c>
      <c r="D4" s="3" t="s">
        <v>130</v>
      </c>
      <c r="E4" s="3" t="s">
        <v>182</v>
      </c>
      <c r="F4" s="3" t="s">
        <v>237</v>
      </c>
      <c r="G4" s="3" t="s">
        <v>77</v>
      </c>
      <c r="H4" s="3" t="s">
        <v>130</v>
      </c>
      <c r="I4" s="3" t="s">
        <v>155</v>
      </c>
      <c r="J4" s="3" t="s">
        <v>181</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3"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158</v>
      </c>
      <c r="D3" s="3" t="s">
        <v>130</v>
      </c>
      <c r="E3" s="3" t="s">
        <v>184</v>
      </c>
      <c r="F3" s="3" t="s">
        <v>237</v>
      </c>
      <c r="G3" s="3" t="s">
        <v>77</v>
      </c>
      <c r="H3" s="3" t="s">
        <v>130</v>
      </c>
      <c r="I3" s="3" t="s">
        <v>159</v>
      </c>
      <c r="J3" s="3" t="s">
        <v>183</v>
      </c>
      <c r="K3" s="3" t="s">
        <v>7</v>
      </c>
      <c r="L3" s="3" t="s">
        <v>130</v>
      </c>
    </row>
    <row r="4" spans="1:12" s="3" customFormat="1" x14ac:dyDescent="0.25">
      <c r="A4" s="3">
        <v>3</v>
      </c>
      <c r="B4" s="3" t="s">
        <v>236</v>
      </c>
      <c r="C4" s="3" t="s">
        <v>161</v>
      </c>
      <c r="D4" s="3" t="s">
        <v>130</v>
      </c>
      <c r="E4" s="3" t="s">
        <v>186</v>
      </c>
      <c r="F4" s="3" t="s">
        <v>237</v>
      </c>
      <c r="G4" s="3" t="s">
        <v>77</v>
      </c>
      <c r="H4" s="3" t="s">
        <v>130</v>
      </c>
      <c r="I4" s="3" t="s">
        <v>162</v>
      </c>
      <c r="J4" s="3" t="s">
        <v>185</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20" customWidth="1"/>
  </cols>
  <sheetData>
    <row r="1" ht="28" customHeight="1" spans="1:4" s="17" customFormat="1" x14ac:dyDescent="0.25">
      <c r="A1" s="17" t="s">
        <v>187</v>
      </c>
      <c r="B1" s="17" t="s">
        <v>238</v>
      </c>
      <c r="C1" s="17" t="s">
        <v>239</v>
      </c>
      <c r="D1" s="17" t="s">
        <v>240</v>
      </c>
    </row>
  </sheetData>
  <autoFilter ref="A1:D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rightToLeft="1">
      <pane ySplit="1" topLeftCell="A2" activePane="bottomLeft" state="frozen"/>
      <selection pane="bottomLeft"/>
    </sheetView>
  </sheetViews>
  <sheetFormatPr defaultRowHeight="15" outlineLevelRow="0" outlineLevelCol="0" x14ac:dyDescent="55"/>
  <cols>
    <col min="1" max="1" width="23" customWidth="1"/>
    <col min="2" max="2" width="45" customWidth="1"/>
  </cols>
  <sheetData>
    <row r="1" ht="28" customHeight="1" spans="1:2" s="17" customFormat="1" x14ac:dyDescent="0.25">
      <c r="A1" s="17" t="s">
        <v>241</v>
      </c>
      <c r="B1" s="17" t="s">
        <v>242</v>
      </c>
    </row>
    <row r="2" spans="1:2" s="3" customFormat="1" x14ac:dyDescent="0.25">
      <c r="A2" s="3" t="s">
        <v>243</v>
      </c>
      <c r="B2" s="3" t="s">
        <v>244</v>
      </c>
    </row>
    <row r="3" spans="1:2" s="3" customFormat="1" x14ac:dyDescent="0.25">
      <c r="A3" s="3" t="s">
        <v>245</v>
      </c>
      <c r="B3" s="3" t="s">
        <v>246</v>
      </c>
    </row>
    <row r="4" spans="1:2" s="3" customFormat="1" x14ac:dyDescent="0.25">
      <c r="A4" s="3" t="s">
        <v>247</v>
      </c>
      <c r="B4" s="3" t="s">
        <v>248</v>
      </c>
    </row>
    <row r="5" spans="1:2" s="3" customFormat="1" x14ac:dyDescent="0.25">
      <c r="A5" s="3" t="s">
        <v>249</v>
      </c>
      <c r="B5" s="4">
        <v>46294.423661168985</v>
      </c>
    </row>
    <row r="6" spans="1:2" s="3" customFormat="1" x14ac:dyDescent="0.25">
      <c r="A6" s="3" t="s">
        <v>250</v>
      </c>
      <c r="B6" s="3" t="s">
        <v>251</v>
      </c>
    </row>
    <row r="7" spans="1:2" s="3" customFormat="1" x14ac:dyDescent="0.25">
      <c r="A7" s="3" t="s">
        <v>252</v>
      </c>
      <c r="B7" s="3" t="s">
        <v>253</v>
      </c>
    </row>
  </sheetData>
  <autoFilter ref="A1:B7"/>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Matches</vt:lpstr>
      <vt:lpstr>Needs Review</vt:lpstr>
      <vt:lpstr>Unmatched</vt:lpstr>
      <vt:lpstr>Reconciliation Bridge</vt:lpstr>
      <vt:lpstr>Review Sign-off</vt:lpstr>
      <vt:lpstr>Diagnostics</vt:lpstr>
      <vt:lpstr>Match Evidence</vt:lpstr>
      <vt:lpstr>Review History</vt:lpstr>
      <vt:lpstr>Supplier transactions</vt:lpstr>
      <vt:lpstr>Ledger transactions</vt:lpstr>
      <vt:lpstr>Excluded Rows</vt:lpstr>
      <vt:lpstr>Run Settings</vt:lpstr>
      <vt:lpstr>Parsed Supplier Source</vt:lpstr>
      <vt:lpstr>Parsed Ledger Source</vt:lpstr>
      <vt:lpstr>PDF Row Origins</vt:lpstr>
      <vt:lpstr>Export 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Tarasuf Local</dc:creator>
  <dc:title/>
  <dc:subject/>
  <dc:description/>
  <cp:keywords/>
  <cp:category/>
  <cp:lastModifiedBy>Unknown</cp:lastModifiedBy>
  <dcterms:created xsi:type="dcterms:W3CDTF">2026-09-29T10:10:04Z</dcterms:created>
  <dcterms:modified xsi:type="dcterms:W3CDTF">2026-09-29T10:10:04Z</dcterms:modified>
</cp:coreProperties>
</file>