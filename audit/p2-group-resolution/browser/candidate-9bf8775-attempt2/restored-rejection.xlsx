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<sst xmlns="http://schemas.openxmlformats.org/spreadsheetml/2006/main" count="482" uniqueCount="259">
  <si>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</si>
  <si>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</si>
  <si>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</si>
  <si>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</si>
  <si>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</si>
  <si>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</si>
  <si>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</si>
  <si>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</si>
  <si>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</si>
  <si>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</si>
  <si>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</si>
  <si>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</si>
  <si>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</si>
  <si>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</si>
  <si>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</si>
  <si>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</si>
  <si>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</si>
  <si>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</si>
  <si>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</si>
  <si>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</si>
  <si>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</si>
  <si>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</si>
  <si>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</si>
  <si>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</si>
  <si>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</si>
  <si>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</si>
  <si>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</si>
  <si>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</si>
  <si>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</si>
  <si>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</si>
  <si>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</si>
  <si>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</si>
  <si>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</si>
  <si>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</si>
  <si>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</si>
  <si>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</si>
  <si>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</si>
  <si>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</si>
  <si>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</si>
  <si>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</si>
  <si>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</si>
  <si>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</si>
  <si>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</si>
  <si>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</si>
  <si>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</si>
  <si>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</si>
  <si>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</si>
  <si>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</si>
  <si>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</si>
  <si>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</si>
  <si>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</si>
  <si>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</si>
  <si>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</si>
  <si>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</si>
  <si>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</si>
  <si>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</si>
  <si>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</si>
  <si>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</si>
  <si>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</si>
  <si>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</si>
  <si>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</si>
  <si>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</si>
  <si>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</si>
  <si>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</si>
  <si>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</si>
  <si>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</si>
  <si>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</si>
  <si>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</si>
  <si>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</si>
  <si>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</si>
  <si>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</si>
  <si>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</si>
  <si>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</si>
  <si>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</si>
  <si>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</si>
  <si>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</si>
  <si>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</si>
  <si>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</si>
  <si>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</si>
  <si>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</si>
  <si>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</si>
  <si>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</si>
  <si>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Supplier Source 2</t>
  </si>
  <si>
    <t>Ledger Source 1</t>
  </si>
  <si>
    <t>Ledger Source 2</t>
  </si>
  <si>
    <t>CASE-0CA37458</t>
  </si>
  <si>
    <t>AMBIGUOUS_CANDIDATE</t>
  </si>
  <si>
    <t xml:space="preserve">BANK-P2-441 · CSV:2
BANK-P2-441 · CSV:3</t>
  </si>
  <si>
    <t>رفض المراجع رابطًا داخل المجموعة؛ أُوقف اعتماد المجموعة كاملة.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</si>
  <si>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</si>
  <si>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</si>
  <si>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</si>
  <si>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</si>
  <si>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</si>
  <si>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supplier · CSV · row 3</t>
  </si>
  <si>
    <t>ledger · CSV · row 2</t>
  </si>
  <si>
    <t>ledger · CSV · row 3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</si>
  <si>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</si>
  <si>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</si>
  <si>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</si>
  <si>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</si>
  <si>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</si>
  <si>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</si>
  <si>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</si>
  <si>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</si>
  <si>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</si>
  <si>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</si>
  <si>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</si>
  <si>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</si>
  <si>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</si>
  <si>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</si>
  <si>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</si>
  <si>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</si>
  <si>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</si>
  <si>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</si>
  <si>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Synthetic P2 reviewer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</si>
  <si>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</si>
  <si>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</si>
  <si>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</si>
  <si>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</si>
  <si>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</si>
  <si>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</si>
  <si>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</si>
  <si>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Browser acceptance of complete groups and documented review decisions.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</si>
  <si>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</si>
  <si>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</si>
  <si>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</si>
  <si>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</si>
  <si>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</si>
  <si>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</si>
  <si>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</si>
  <si>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</si>
  <si>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</si>
  <si>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</si>
  <si>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</si>
  <si>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supplier:0:3 | ledger:0:2 | ledger:0:3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</si>
  <si>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</si>
  <si>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</si>
  <si>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</si>
  <si>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</si>
  <si>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</si>
  <si>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</si>
  <si>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</si>
  <si>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</si>
  <si>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</si>
  <si>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</si>
  <si>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</si>
  <si>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</si>
  <si>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</si>
  <si>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PAYMENT_GROUP_PROOF_INCOMPLETE_V1</t>
  </si>
  <si>
    <t>supplier</t>
  </si>
  <si>
    <t>supplier:0:2</t>
  </si>
  <si>
    <t>BANK-P2-441</t>
  </si>
  <si>
    <t>SUP-PAY-441-1</t>
  </si>
  <si>
    <t>SUP-VOUCHER-441-1</t>
  </si>
  <si>
    <t>supplier:0:3</t>
  </si>
  <si>
    <t>SUP-PAY-441-2</t>
  </si>
  <si>
    <t>SUP-VOUCHER-441-2</t>
  </si>
  <si>
    <t>ledger</t>
  </si>
  <si>
    <t>ledger:0:2</t>
  </si>
  <si>
    <t>LED-PAY-441-1</t>
  </si>
  <si>
    <t>LED-VOUCHER-441-1</t>
  </si>
  <si>
    <t>ledger:0:3</t>
  </si>
  <si>
    <t>LED-PAY-441-2</t>
  </si>
  <si>
    <t>LED-VOUCHER-441-2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</si>
  <si>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</si>
  <si>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</si>
  <si>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</si>
  <si>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</si>
  <si>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</si>
  <si>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unlink</t>
  </si>
  <si>
    <t>Synthetic P2: reject the entire payment group.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</si>
  <si>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</si>
  <si>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</si>
  <si>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</si>
  <si>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</si>
  <si>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</si>
  <si>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</si>
  <si>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</si>
  <si>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</si>
  <si>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</si>
  <si>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</si>
  <si>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BANKP2441</t>
  </si>
  <si>
    <t>supplier payment part 1</t>
  </si>
  <si>
    <t>-40.00</t>
  </si>
  <si>
    <t>supplier payment part 2</t>
  </si>
  <si>
    <t>-60.00</t>
  </si>
  <si>
    <t>ledger payment part 1</t>
  </si>
  <si>
    <t>-25.00</t>
  </si>
  <si>
    <t>ledger payment part 2</t>
  </si>
  <si>
    <t>-75.00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</si>
  <si>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</si>
  <si>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</si>
  <si>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</si>
  <si>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</si>
  <si>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</si>
  <si>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No","Reference","Amount","Type","Bank Reference","Receipt No","Voucher No","Description","Currency","PO"]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</si>
  <si>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</si>
  <si>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</si>
  <si>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</si>
  <si>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</si>
  <si>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</si>
  <si>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</si>
  <si>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1,"description":8,"amount":3,"debit":-1,"credit":-1,"currencyColumn":9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</si>
  <si>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</si>
  <si>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</si>
  <si>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</si>
  <si>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</si>
  <si>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</si>
  <si>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10,"originalValue":"SAR","method":"literal"}],"warnings":[]}</t>
  </si>
  <si>
    <t>Ledger metadata</t>
  </si>
  <si>
    <t>Rejected pairs</t>
  </si>
  <si>
    <t>["supplier:0:2|ledger:0:2"]</t>
  </si>
  <si>
    <t>Ambiguous source rows</t>
  </si>
  <si>
    <t>["supplier:0:2","supplier:0:3","ledger:0:2","ledger:0:3"]</t>
  </si>
  <si>
    <t>Candidate links (not approvals)</t>
  </si>
  <si>
    <t>{}</t>
  </si>
  <si>
    <t>Supplier filename</t>
  </si>
  <si>
    <t>group-supplier.csv</t>
  </si>
  <si>
    <t>Ledger filename</t>
  </si>
  <si>
    <t>group-ledger.csv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</si>
  <si>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</si>
  <si>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</si>
  <si>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</si>
  <si>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</si>
  <si>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</si>
  <si>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</si>
  <si>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</si>
  <si>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</si>
  <si>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</si>
  <si>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</si>
  <si>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</si>
  <si>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</si>
  <si>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</si>
  <si>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عمود 10</t>
  </si>
  <si>
    <t>عمود 11</t>
  </si>
  <si>
    <t>Document No</t>
  </si>
  <si>
    <t>Type</t>
  </si>
  <si>
    <t>Receipt No</t>
  </si>
  <si>
    <t>Voucher No</t>
  </si>
  <si>
    <t>PO</t>
  </si>
  <si>
    <t>2026-07-15</t>
  </si>
  <si>
    <t>Payment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</si>
  <si>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</si>
  <si>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</si>
  <si>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</si>
  <si>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</si>
  <si>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</si>
  <si>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</si>
  <si>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0.3.19-experimental</t>
  </si>
  <si>
    <t>Supplier SHA-256</t>
  </si>
  <si>
    <t>a83a12f628d783dc5b03d596098630de9c8302627ce24bc7b47b614a3d2229eb</t>
  </si>
  <si>
    <t>Ledger SHA-256</t>
  </si>
  <si>
    <t>28b57c97fb74abb6759f56957cfedcc00d6421aaa7623e6bd35ec907ed4114fa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</si>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</sst>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4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4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0</v>
      </c>
    </row>
    <row r="29" ht="30" customHeight="1" spans="1:2" s="3" customFormat="1" x14ac:dyDescent="0.25">
      <c r="A29" s="3" t="s">
        <v>36</v>
      </c>
      <c r="B29" s="6">
        <f>SUM('Matches'!O2:P2)</f>
        <v>0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4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9" width="30" customWidth="1"/>
  </cols>
  <sheetData>
    <row r="1" ht="32" customHeight="1" spans="1:19" s="1" customFormat="1" x14ac:dyDescent="0.25">
      <c r="A1" s="2" t="s">
        <v>54</v>
      </c>
      <c r="B1" s="2" t="s">
        <v>71</v>
      </c>
      <c r="C1" s="2" t="s">
        <v>72</v>
      </c>
      <c r="D1" s="2" t="s">
        <v>73</v>
      </c>
      <c r="E1" s="8" t="s">
        <v>74</v>
      </c>
      <c r="F1" s="8" t="s">
        <v>75</v>
      </c>
      <c r="G1" s="8" t="s">
        <v>76</v>
      </c>
      <c r="H1" s="2" t="s">
        <v>65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66</v>
      </c>
      <c r="N1" s="2" t="s">
        <v>68</v>
      </c>
      <c r="O1" s="2" t="s">
        <v>69</v>
      </c>
      <c r="P1" s="2" t="s">
        <v>81</v>
      </c>
      <c r="Q1" s="2" t="s">
        <v>82</v>
      </c>
      <c r="R1" s="2" t="s">
        <v>83</v>
      </c>
      <c r="S1" s="2" t="s">
        <v>84</v>
      </c>
    </row>
    <row r="2" ht="42" customHeight="1" spans="1:19" s="9" customFormat="1" x14ac:dyDescent="0.25">
      <c r="A2" s="10" t="s">
        <v>85</v>
      </c>
      <c r="B2" s="10" t="s">
        <v>86</v>
      </c>
      <c r="C2" s="10" t="s">
        <v>87</v>
      </c>
      <c r="D2" s="10" t="s">
        <v>87</v>
      </c>
      <c r="E2" s="11">
        <v>-100</v>
      </c>
      <c r="F2" s="11">
        <v>-100</v>
      </c>
      <c r="G2" s="11">
        <v>0</v>
      </c>
      <c r="H2" s="10" t="s">
        <v>88</v>
      </c>
      <c r="I2" s="10" t="s">
        <v>89</v>
      </c>
      <c r="J2" s="10" t="s">
        <v>90</v>
      </c>
      <c r="K2" s="10" t="s">
        <v>91</v>
      </c>
      <c r="L2" s="9"/>
      <c r="M2" s="10" t="s">
        <v>92</v>
      </c>
      <c r="N2" s="10">
        <v>2</v>
      </c>
      <c r="O2" s="10">
        <v>2</v>
      </c>
      <c r="P2" s="12" t="s">
        <v>93</v>
      </c>
      <c r="Q2" s="12" t="s">
        <v>94</v>
      </c>
      <c r="R2" s="12" t="s">
        <v>95</v>
      </c>
      <c r="S2" s="12" t="s">
        <v>96</v>
      </c>
    </row>
  </sheetData>
  <autoFilter ref="A1:S2"/>
  <hyperlinks>
    <hyperlink ref="P2" r:id="rId1" location="#'Parsed Supplier Source'!A3"/>
    <hyperlink ref="Q2" r:id="rId2" location="#'Parsed Supplier Source'!A4"/>
    <hyperlink ref="R2" r:id="rId3" location="#'Parsed Ledger Source'!A3"/>
    <hyperlink ref="S2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71</v>
      </c>
      <c r="C1" s="8" t="s">
        <v>58</v>
      </c>
      <c r="D1" s="8" t="s">
        <v>61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3" t="s">
        <v>43</v>
      </c>
      <c r="E3" s="7">
        <f>0</f>
        <v>0</v>
      </c>
    </row>
    <row r="4" ht="32" customHeight="1" spans="4:5" x14ac:dyDescent="0.25">
      <c r="D4" s="13" t="s">
        <v>23</v>
      </c>
      <c r="E4" s="7"/>
    </row>
    <row r="5" ht="32" customHeight="1" spans="4:5" x14ac:dyDescent="0.25">
      <c r="D5" s="13" t="s">
        <v>44</v>
      </c>
      <c r="E5" s="7"/>
    </row>
    <row r="6" ht="32" customHeight="1" spans="4:5" x14ac:dyDescent="0.25">
      <c r="D6" s="13" t="s">
        <v>24</v>
      </c>
      <c r="E6" s="7"/>
    </row>
    <row r="7" ht="32" customHeight="1" spans="4:5" x14ac:dyDescent="0.25">
      <c r="D7" s="13" t="s">
        <v>45</v>
      </c>
      <c r="E7" s="7"/>
    </row>
    <row r="9" spans="1:8" x14ac:dyDescent="0.25">
      <c r="A9" s="14" t="s">
        <v>111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112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85</v>
      </c>
      <c r="B13" s="3" t="s">
        <v>86</v>
      </c>
      <c r="C13" s="15">
        <v>-100</v>
      </c>
      <c r="D13" s="15">
        <v>-100</v>
      </c>
      <c r="E13" s="15">
        <v>0</v>
      </c>
      <c r="F13" s="3" t="s">
        <v>88</v>
      </c>
      <c r="G13" s="3" t="s">
        <v>92</v>
      </c>
      <c r="H13" s="3" t="s">
        <v>113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  <c r="B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91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  <c r="B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6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45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28</v>
      </c>
      <c r="B2" s="3" t="s">
        <v>130</v>
      </c>
      <c r="C2" s="3" t="s">
        <v>131</v>
      </c>
    </row>
    <row r="3" spans="1:3" s="3" customFormat="1" x14ac:dyDescent="0.25">
      <c r="A3" s="3" t="s">
        <v>34</v>
      </c>
      <c r="B3" s="3" t="s">
        <v>132</v>
      </c>
      <c r="C3" s="3" t="s">
        <v>131</v>
      </c>
    </row>
    <row r="4" spans="1:3" s="3" customFormat="1" x14ac:dyDescent="0.25">
      <c r="A4" s="3" t="s">
        <v>28</v>
      </c>
      <c r="B4" s="3" t="s">
        <v>133</v>
      </c>
      <c r="C4" s="3" t="s">
        <v>131</v>
      </c>
    </row>
    <row r="5" spans="1:3" s="3" customFormat="1" x14ac:dyDescent="0.25">
      <c r="A5" s="3" t="s">
        <v>34</v>
      </c>
      <c r="B5" s="3" t="s">
        <v>134</v>
      </c>
      <c r="C5" s="3" t="s">
        <v>131</v>
      </c>
    </row>
    <row r="6" spans="1:3" s="3" customFormat="1" x14ac:dyDescent="0.25">
      <c r="A6" s="3" t="s">
        <v>86</v>
      </c>
      <c r="B6" s="3" t="s">
        <v>88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5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54</v>
      </c>
      <c r="B1" s="17" t="s">
        <v>71</v>
      </c>
      <c r="C1" s="17" t="s">
        <v>66</v>
      </c>
      <c r="D1" s="17" t="s">
        <v>64</v>
      </c>
      <c r="E1" s="17" t="s">
        <v>65</v>
      </c>
      <c r="F1" s="17" t="s">
        <v>97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98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6</v>
      </c>
      <c r="S1" s="18" t="s">
        <v>103</v>
      </c>
      <c r="T1" s="17" t="s">
        <v>105</v>
      </c>
      <c r="U1" s="17" t="s">
        <v>146</v>
      </c>
      <c r="V1" s="17" t="s">
        <v>147</v>
      </c>
      <c r="W1" s="17" t="s">
        <v>148</v>
      </c>
    </row>
    <row r="2" spans="1:23" s="3" customFormat="1" x14ac:dyDescent="0.25">
      <c r="A2" s="3" t="s">
        <v>85</v>
      </c>
      <c r="B2" s="3" t="s">
        <v>86</v>
      </c>
      <c r="C2" s="3" t="s">
        <v>92</v>
      </c>
      <c r="D2" s="3" t="s">
        <v>149</v>
      </c>
      <c r="E2" s="3" t="s">
        <v>88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131</v>
      </c>
      <c r="K2" s="4">
        <v>46218</v>
      </c>
      <c r="L2" s="3" t="s">
        <v>152</v>
      </c>
      <c r="M2" s="3" t="s">
        <v>153</v>
      </c>
      <c r="N2" s="3" t="s">
        <v>154</v>
      </c>
      <c r="O2" s="3" t="s">
        <v>131</v>
      </c>
      <c r="P2" s="3" t="s">
        <v>152</v>
      </c>
      <c r="Q2" s="3" t="s">
        <v>153</v>
      </c>
      <c r="R2" s="3" t="s">
        <v>7</v>
      </c>
      <c r="S2" s="15">
        <v>-40</v>
      </c>
      <c r="T2" s="3" t="s">
        <v>93</v>
      </c>
      <c r="U2" s="3" t="s">
        <v>131</v>
      </c>
      <c r="V2" s="3" t="s">
        <v>131</v>
      </c>
      <c r="W2" s="3" t="s">
        <v>131</v>
      </c>
    </row>
    <row r="3" spans="1:23" s="3" customFormat="1" x14ac:dyDescent="0.25">
      <c r="A3" s="3" t="s">
        <v>85</v>
      </c>
      <c r="B3" s="3" t="s">
        <v>86</v>
      </c>
      <c r="C3" s="3" t="s">
        <v>92</v>
      </c>
      <c r="D3" s="3" t="s">
        <v>149</v>
      </c>
      <c r="E3" s="3" t="s">
        <v>88</v>
      </c>
      <c r="F3" s="3" t="s">
        <v>150</v>
      </c>
      <c r="G3" s="3" t="s">
        <v>155</v>
      </c>
      <c r="H3" s="3" t="s">
        <v>14</v>
      </c>
      <c r="I3" s="3">
        <v>3</v>
      </c>
      <c r="J3" s="3" t="s">
        <v>131</v>
      </c>
      <c r="K3" s="4">
        <v>46218</v>
      </c>
      <c r="L3" s="3" t="s">
        <v>152</v>
      </c>
      <c r="M3" s="3" t="s">
        <v>156</v>
      </c>
      <c r="N3" s="3" t="s">
        <v>157</v>
      </c>
      <c r="O3" s="3" t="s">
        <v>131</v>
      </c>
      <c r="P3" s="3" t="s">
        <v>152</v>
      </c>
      <c r="Q3" s="3" t="s">
        <v>156</v>
      </c>
      <c r="R3" s="3" t="s">
        <v>7</v>
      </c>
      <c r="S3" s="15">
        <v>-60</v>
      </c>
      <c r="T3" s="3" t="s">
        <v>94</v>
      </c>
      <c r="U3" s="3" t="s">
        <v>131</v>
      </c>
      <c r="V3" s="3" t="s">
        <v>131</v>
      </c>
      <c r="W3" s="3" t="s">
        <v>131</v>
      </c>
    </row>
    <row r="4" spans="1:23" s="3" customFormat="1" x14ac:dyDescent="0.25">
      <c r="A4" s="3" t="s">
        <v>85</v>
      </c>
      <c r="B4" s="3" t="s">
        <v>86</v>
      </c>
      <c r="C4" s="3" t="s">
        <v>92</v>
      </c>
      <c r="D4" s="3" t="s">
        <v>149</v>
      </c>
      <c r="E4" s="3" t="s">
        <v>88</v>
      </c>
      <c r="F4" s="3" t="s">
        <v>158</v>
      </c>
      <c r="G4" s="3" t="s">
        <v>159</v>
      </c>
      <c r="H4" s="3" t="s">
        <v>14</v>
      </c>
      <c r="I4" s="3">
        <v>2</v>
      </c>
      <c r="J4" s="3" t="s">
        <v>131</v>
      </c>
      <c r="K4" s="4">
        <v>46218</v>
      </c>
      <c r="L4" s="3" t="s">
        <v>152</v>
      </c>
      <c r="M4" s="3" t="s">
        <v>160</v>
      </c>
      <c r="N4" s="3" t="s">
        <v>161</v>
      </c>
      <c r="O4" s="3" t="s">
        <v>131</v>
      </c>
      <c r="P4" s="3" t="s">
        <v>152</v>
      </c>
      <c r="Q4" s="3" t="s">
        <v>160</v>
      </c>
      <c r="R4" s="3" t="s">
        <v>7</v>
      </c>
      <c r="S4" s="15">
        <v>-25</v>
      </c>
      <c r="T4" s="3" t="s">
        <v>95</v>
      </c>
      <c r="U4" s="3" t="s">
        <v>131</v>
      </c>
      <c r="V4" s="3" t="s">
        <v>131</v>
      </c>
      <c r="W4" s="3" t="s">
        <v>131</v>
      </c>
    </row>
    <row r="5" spans="1:23" s="3" customFormat="1" x14ac:dyDescent="0.25">
      <c r="A5" s="3" t="s">
        <v>85</v>
      </c>
      <c r="B5" s="3" t="s">
        <v>86</v>
      </c>
      <c r="C5" s="3" t="s">
        <v>92</v>
      </c>
      <c r="D5" s="3" t="s">
        <v>149</v>
      </c>
      <c r="E5" s="3" t="s">
        <v>88</v>
      </c>
      <c r="F5" s="3" t="s">
        <v>158</v>
      </c>
      <c r="G5" s="3" t="s">
        <v>162</v>
      </c>
      <c r="H5" s="3" t="s">
        <v>14</v>
      </c>
      <c r="I5" s="3">
        <v>3</v>
      </c>
      <c r="J5" s="3" t="s">
        <v>131</v>
      </c>
      <c r="K5" s="4">
        <v>46218</v>
      </c>
      <c r="L5" s="3" t="s">
        <v>152</v>
      </c>
      <c r="M5" s="3" t="s">
        <v>163</v>
      </c>
      <c r="N5" s="3" t="s">
        <v>164</v>
      </c>
      <c r="O5" s="3" t="s">
        <v>131</v>
      </c>
      <c r="P5" s="3" t="s">
        <v>152</v>
      </c>
      <c r="Q5" s="3" t="s">
        <v>163</v>
      </c>
      <c r="R5" s="3" t="s">
        <v>7</v>
      </c>
      <c r="S5" s="15">
        <v>-75</v>
      </c>
      <c r="T5" s="3" t="s">
        <v>96</v>
      </c>
      <c r="U5" s="3" t="s">
        <v>131</v>
      </c>
      <c r="V5" s="3" t="s">
        <v>131</v>
      </c>
      <c r="W5" s="3" t="s">
        <v>131</v>
      </c>
    </row>
  </sheetData>
  <autoFilter ref="A1:W5"/>
  <hyperlinks>
    <hyperlink ref="T2" r:id="rId1" location="#'Parsed Supplier Source'!A3"/>
    <hyperlink ref="T3" r:id="rId2" location="#'Parsed Supplier Source'!A4"/>
    <hyperlink ref="T4" r:id="rId3" location="#'Parsed Ledger Source'!A3"/>
    <hyperlink ref="T5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4" width="45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80</v>
      </c>
    </row>
    <row r="2" spans="1:4" s="3" customFormat="1" x14ac:dyDescent="0.25">
      <c r="A2" s="4">
        <v>46294.42449846065</v>
      </c>
      <c r="B2" s="3" t="s">
        <v>168</v>
      </c>
      <c r="C2" s="3" t="s">
        <v>131</v>
      </c>
      <c r="D2" s="3" t="s">
        <v>169</v>
      </c>
    </row>
    <row r="3" spans="1:4" s="3" customFormat="1" x14ac:dyDescent="0.25">
      <c r="A3" s="4">
        <v>46294.42453993055</v>
      </c>
      <c r="B3" s="3" t="s">
        <v>170</v>
      </c>
      <c r="C3" s="3" t="s">
        <v>135</v>
      </c>
      <c r="D3" s="3" t="s">
        <v>171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5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172</v>
      </c>
      <c r="B1" s="17" t="s">
        <v>173</v>
      </c>
      <c r="C1" s="17" t="s">
        <v>174</v>
      </c>
      <c r="D1" s="17" t="s">
        <v>175</v>
      </c>
      <c r="E1" s="17" t="s">
        <v>176</v>
      </c>
      <c r="F1" s="17" t="s">
        <v>177</v>
      </c>
      <c r="G1" s="17" t="s">
        <v>178</v>
      </c>
      <c r="H1" s="18" t="s">
        <v>179</v>
      </c>
      <c r="I1" s="17" t="s">
        <v>180</v>
      </c>
      <c r="J1" s="17" t="s">
        <v>181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182</v>
      </c>
      <c r="G2" s="3" t="s">
        <v>183</v>
      </c>
      <c r="H2" s="15">
        <v>-40</v>
      </c>
      <c r="I2" s="3" t="s">
        <v>184</v>
      </c>
      <c r="J2" s="3" t="s">
        <v>131</v>
      </c>
    </row>
    <row r="3" spans="1:10" s="3" customFormat="1" x14ac:dyDescent="0.25">
      <c r="A3" s="3" t="s">
        <v>155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182</v>
      </c>
      <c r="G3" s="3" t="s">
        <v>185</v>
      </c>
      <c r="H3" s="15">
        <v>-60</v>
      </c>
      <c r="I3" s="3" t="s">
        <v>186</v>
      </c>
      <c r="J3" s="3" t="s">
        <v>131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3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172</v>
      </c>
      <c r="B1" s="17" t="s">
        <v>173</v>
      </c>
      <c r="C1" s="17" t="s">
        <v>174</v>
      </c>
      <c r="D1" s="17" t="s">
        <v>175</v>
      </c>
      <c r="E1" s="17" t="s">
        <v>176</v>
      </c>
      <c r="F1" s="17" t="s">
        <v>177</v>
      </c>
      <c r="G1" s="17" t="s">
        <v>178</v>
      </c>
      <c r="H1" s="18" t="s">
        <v>179</v>
      </c>
      <c r="I1" s="17" t="s">
        <v>180</v>
      </c>
      <c r="J1" s="17" t="s">
        <v>181</v>
      </c>
    </row>
    <row r="2" spans="1:10" s="3" customFormat="1" x14ac:dyDescent="0.25">
      <c r="A2" s="3" t="s">
        <v>159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182</v>
      </c>
      <c r="G2" s="3" t="s">
        <v>187</v>
      </c>
      <c r="H2" s="15">
        <v>-25</v>
      </c>
      <c r="I2" s="3" t="s">
        <v>188</v>
      </c>
      <c r="J2" s="3" t="s">
        <v>131</v>
      </c>
    </row>
    <row r="3" spans="1:10" s="3" customFormat="1" x14ac:dyDescent="0.25">
      <c r="A3" s="3" t="s">
        <v>162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182</v>
      </c>
      <c r="G3" s="3" t="s">
        <v>189</v>
      </c>
      <c r="H3" s="15">
        <v>-75</v>
      </c>
      <c r="I3" s="3" t="s">
        <v>190</v>
      </c>
      <c r="J3" s="3" t="s">
        <v>131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191</v>
      </c>
      <c r="B1" s="17" t="s">
        <v>174</v>
      </c>
      <c r="C1" s="17" t="s">
        <v>192</v>
      </c>
      <c r="D1" s="17" t="s">
        <v>193</v>
      </c>
    </row>
    <row r="2" spans="1:4" s="3" customFormat="1" x14ac:dyDescent="0.25">
      <c r="A2" s="3" t="s">
        <v>194</v>
      </c>
      <c r="B2" s="3">
        <v>1</v>
      </c>
      <c r="C2" s="3" t="s">
        <v>195</v>
      </c>
      <c r="D2" s="3" t="s">
        <v>196</v>
      </c>
    </row>
    <row r="3" spans="1:4" s="3" customFormat="1" x14ac:dyDescent="0.25">
      <c r="A3" s="3" t="s">
        <v>197</v>
      </c>
      <c r="B3" s="3">
        <v>1</v>
      </c>
      <c r="C3" s="3" t="s">
        <v>195</v>
      </c>
      <c r="D3" s="3" t="s">
        <v>196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198</v>
      </c>
      <c r="B1" s="17" t="s">
        <v>199</v>
      </c>
    </row>
    <row r="2" spans="1:2" s="3" customFormat="1" x14ac:dyDescent="0.25">
      <c r="A2" s="3" t="s">
        <v>200</v>
      </c>
      <c r="B2" s="3" t="s">
        <v>201</v>
      </c>
    </row>
    <row r="3" spans="1:2" s="3" customFormat="1" x14ac:dyDescent="0.25">
      <c r="A3" s="3" t="s">
        <v>202</v>
      </c>
      <c r="B3" s="3" t="s">
        <v>203</v>
      </c>
    </row>
    <row r="4" spans="1:2" s="3" customFormat="1" x14ac:dyDescent="0.25">
      <c r="A4" s="3" t="s">
        <v>204</v>
      </c>
      <c r="B4" s="3" t="s">
        <v>203</v>
      </c>
    </row>
    <row r="5" spans="1:2" s="3" customFormat="1" x14ac:dyDescent="0.25">
      <c r="A5" s="3" t="s">
        <v>205</v>
      </c>
      <c r="B5" s="3" t="s">
        <v>206</v>
      </c>
    </row>
    <row r="6" spans="1:2" s="3" customFormat="1" x14ac:dyDescent="0.25">
      <c r="A6" s="3" t="s">
        <v>207</v>
      </c>
      <c r="B6" s="3" t="s">
        <v>206</v>
      </c>
    </row>
    <row r="7" spans="1:2" s="3" customFormat="1" x14ac:dyDescent="0.25">
      <c r="A7" s="3" t="s">
        <v>208</v>
      </c>
      <c r="B7" s="3" t="s">
        <v>209</v>
      </c>
    </row>
    <row r="8" spans="1:2" s="3" customFormat="1" x14ac:dyDescent="0.25">
      <c r="A8" s="3" t="s">
        <v>210</v>
      </c>
      <c r="B8" s="3" t="s">
        <v>209</v>
      </c>
    </row>
    <row r="9" spans="1:2" s="3" customFormat="1" x14ac:dyDescent="0.25">
      <c r="A9" s="3" t="s">
        <v>211</v>
      </c>
      <c r="B9" s="3" t="s">
        <v>212</v>
      </c>
    </row>
    <row r="10" spans="1:2" s="3" customFormat="1" x14ac:dyDescent="0.25">
      <c r="A10" s="3" t="s">
        <v>213</v>
      </c>
      <c r="B10" s="3" t="s">
        <v>214</v>
      </c>
    </row>
    <row r="11" spans="1:2" s="3" customFormat="1" x14ac:dyDescent="0.25">
      <c r="A11" s="3" t="s">
        <v>215</v>
      </c>
      <c r="B11" s="3" t="s">
        <v>216</v>
      </c>
    </row>
    <row r="12" spans="1:2" s="3" customFormat="1" x14ac:dyDescent="0.25">
      <c r="A12" s="3" t="s">
        <v>217</v>
      </c>
      <c r="B12" s="3" t="s">
        <v>218</v>
      </c>
    </row>
    <row r="13" spans="1:2" s="3" customFormat="1" x14ac:dyDescent="0.25">
      <c r="A13" s="3" t="s">
        <v>219</v>
      </c>
      <c r="B13" s="3" t="s">
        <v>220</v>
      </c>
    </row>
    <row r="14" spans="1:2" s="3" customFormat="1" x14ac:dyDescent="0.25">
      <c r="A14" s="3" t="s">
        <v>221</v>
      </c>
      <c r="B14" s="3" t="s">
        <v>131</v>
      </c>
    </row>
    <row r="15" spans="1:2" s="3" customFormat="1" x14ac:dyDescent="0.25">
      <c r="A15" s="3" t="s">
        <v>222</v>
      </c>
      <c r="B15" s="3" t="s">
        <v>131</v>
      </c>
    </row>
    <row r="16" spans="1:2" s="3" customFormat="1" x14ac:dyDescent="0.25">
      <c r="A16" s="3" t="s">
        <v>223</v>
      </c>
      <c r="B16" s="3" t="s">
        <v>224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5" customWidth="1"/>
    <col min="11" max="12" width="16" customWidth="1"/>
  </cols>
  <sheetData>
    <row r="1" ht="28" customHeight="1" spans="1:12" s="17" customFormat="1" x14ac:dyDescent="0.25">
      <c r="A1" s="17" t="s">
        <v>174</v>
      </c>
      <c r="B1" s="17" t="s">
        <v>225</v>
      </c>
      <c r="C1" s="17" t="s">
        <v>226</v>
      </c>
      <c r="D1" s="17" t="s">
        <v>227</v>
      </c>
      <c r="E1" s="17" t="s">
        <v>228</v>
      </c>
      <c r="F1" s="17" t="s">
        <v>229</v>
      </c>
      <c r="G1" s="17" t="s">
        <v>230</v>
      </c>
      <c r="H1" s="17" t="s">
        <v>231</v>
      </c>
      <c r="I1" s="17" t="s">
        <v>232</v>
      </c>
      <c r="J1" s="17" t="s">
        <v>233</v>
      </c>
      <c r="K1" s="17" t="s">
        <v>234</v>
      </c>
      <c r="L1" s="17" t="s">
        <v>235</v>
      </c>
    </row>
    <row r="2" spans="1:12" s="3" customFormat="1" x14ac:dyDescent="0.25">
      <c r="A2" s="3">
        <v>1</v>
      </c>
      <c r="B2" s="3" t="s">
        <v>98</v>
      </c>
      <c r="C2" s="3" t="s">
        <v>236</v>
      </c>
      <c r="D2" s="3" t="s">
        <v>100</v>
      </c>
      <c r="E2" s="3" t="s">
        <v>103</v>
      </c>
      <c r="F2" s="3" t="s">
        <v>237</v>
      </c>
      <c r="G2" s="3" t="s">
        <v>144</v>
      </c>
      <c r="H2" s="3" t="s">
        <v>238</v>
      </c>
      <c r="I2" s="3" t="s">
        <v>239</v>
      </c>
      <c r="J2" s="3" t="s">
        <v>102</v>
      </c>
      <c r="K2" s="3" t="s">
        <v>6</v>
      </c>
      <c r="L2" s="3" t="s">
        <v>240</v>
      </c>
    </row>
    <row r="3" spans="1:12" s="3" customFormat="1" x14ac:dyDescent="0.25">
      <c r="A3" s="3">
        <v>2</v>
      </c>
      <c r="B3" s="3" t="s">
        <v>241</v>
      </c>
      <c r="C3" s="3" t="s">
        <v>153</v>
      </c>
      <c r="D3" s="3" t="s">
        <v>131</v>
      </c>
      <c r="E3" s="3" t="s">
        <v>184</v>
      </c>
      <c r="F3" s="3" t="s">
        <v>242</v>
      </c>
      <c r="G3" s="3" t="s">
        <v>152</v>
      </c>
      <c r="H3" s="3" t="s">
        <v>131</v>
      </c>
      <c r="I3" s="3" t="s">
        <v>154</v>
      </c>
      <c r="J3" s="3" t="s">
        <v>183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241</v>
      </c>
      <c r="C4" s="3" t="s">
        <v>156</v>
      </c>
      <c r="D4" s="3" t="s">
        <v>131</v>
      </c>
      <c r="E4" s="3" t="s">
        <v>186</v>
      </c>
      <c r="F4" s="3" t="s">
        <v>242</v>
      </c>
      <c r="G4" s="3" t="s">
        <v>152</v>
      </c>
      <c r="H4" s="3" t="s">
        <v>131</v>
      </c>
      <c r="I4" s="3" t="s">
        <v>157</v>
      </c>
      <c r="J4" s="3" t="s">
        <v>185</v>
      </c>
      <c r="K4" s="3" t="s">
        <v>7</v>
      </c>
      <c r="L4" s="3" t="s">
        <v>131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3" customWidth="1"/>
    <col min="11" max="12" width="16" customWidth="1"/>
  </cols>
  <sheetData>
    <row r="1" ht="28" customHeight="1" spans="1:12" s="17" customFormat="1" x14ac:dyDescent="0.25">
      <c r="A1" s="17" t="s">
        <v>174</v>
      </c>
      <c r="B1" s="17" t="s">
        <v>225</v>
      </c>
      <c r="C1" s="17" t="s">
        <v>226</v>
      </c>
      <c r="D1" s="17" t="s">
        <v>227</v>
      </c>
      <c r="E1" s="17" t="s">
        <v>228</v>
      </c>
      <c r="F1" s="17" t="s">
        <v>229</v>
      </c>
      <c r="G1" s="17" t="s">
        <v>230</v>
      </c>
      <c r="H1" s="17" t="s">
        <v>231</v>
      </c>
      <c r="I1" s="17" t="s">
        <v>232</v>
      </c>
      <c r="J1" s="17" t="s">
        <v>233</v>
      </c>
      <c r="K1" s="17" t="s">
        <v>234</v>
      </c>
      <c r="L1" s="17" t="s">
        <v>235</v>
      </c>
    </row>
    <row r="2" spans="1:12" s="3" customFormat="1" x14ac:dyDescent="0.25">
      <c r="A2" s="3">
        <v>1</v>
      </c>
      <c r="B2" s="3" t="s">
        <v>98</v>
      </c>
      <c r="C2" s="3" t="s">
        <v>236</v>
      </c>
      <c r="D2" s="3" t="s">
        <v>100</v>
      </c>
      <c r="E2" s="3" t="s">
        <v>103</v>
      </c>
      <c r="F2" s="3" t="s">
        <v>237</v>
      </c>
      <c r="G2" s="3" t="s">
        <v>144</v>
      </c>
      <c r="H2" s="3" t="s">
        <v>238</v>
      </c>
      <c r="I2" s="3" t="s">
        <v>239</v>
      </c>
      <c r="J2" s="3" t="s">
        <v>102</v>
      </c>
      <c r="K2" s="3" t="s">
        <v>6</v>
      </c>
      <c r="L2" s="3" t="s">
        <v>240</v>
      </c>
    </row>
    <row r="3" spans="1:12" s="3" customFormat="1" x14ac:dyDescent="0.25">
      <c r="A3" s="3">
        <v>2</v>
      </c>
      <c r="B3" s="3" t="s">
        <v>241</v>
      </c>
      <c r="C3" s="3" t="s">
        <v>160</v>
      </c>
      <c r="D3" s="3" t="s">
        <v>131</v>
      </c>
      <c r="E3" s="3" t="s">
        <v>188</v>
      </c>
      <c r="F3" s="3" t="s">
        <v>242</v>
      </c>
      <c r="G3" s="3" t="s">
        <v>152</v>
      </c>
      <c r="H3" s="3" t="s">
        <v>131</v>
      </c>
      <c r="I3" s="3" t="s">
        <v>161</v>
      </c>
      <c r="J3" s="3" t="s">
        <v>187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241</v>
      </c>
      <c r="C4" s="3" t="s">
        <v>163</v>
      </c>
      <c r="D4" s="3" t="s">
        <v>131</v>
      </c>
      <c r="E4" s="3" t="s">
        <v>190</v>
      </c>
      <c r="F4" s="3" t="s">
        <v>242</v>
      </c>
      <c r="G4" s="3" t="s">
        <v>152</v>
      </c>
      <c r="H4" s="3" t="s">
        <v>131</v>
      </c>
      <c r="I4" s="3" t="s">
        <v>164</v>
      </c>
      <c r="J4" s="3" t="s">
        <v>189</v>
      </c>
      <c r="K4" s="3" t="s">
        <v>7</v>
      </c>
      <c r="L4" s="3" t="s">
        <v>131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191</v>
      </c>
      <c r="B1" s="17" t="s">
        <v>243</v>
      </c>
      <c r="C1" s="17" t="s">
        <v>244</v>
      </c>
      <c r="D1" s="17" t="s">
        <v>245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246</v>
      </c>
      <c r="B1" s="17" t="s">
        <v>247</v>
      </c>
    </row>
    <row r="2" spans="1:2" s="3" customFormat="1" x14ac:dyDescent="0.25">
      <c r="A2" s="3" t="s">
        <v>248</v>
      </c>
      <c r="B2" s="3" t="s">
        <v>249</v>
      </c>
    </row>
    <row r="3" spans="1:2" s="3" customFormat="1" x14ac:dyDescent="0.25">
      <c r="A3" s="3" t="s">
        <v>250</v>
      </c>
      <c r="B3" s="3" t="s">
        <v>251</v>
      </c>
    </row>
    <row r="4" spans="1:2" s="3" customFormat="1" x14ac:dyDescent="0.25">
      <c r="A4" s="3" t="s">
        <v>252</v>
      </c>
      <c r="B4" s="3" t="s">
        <v>253</v>
      </c>
    </row>
    <row r="5" spans="1:2" s="3" customFormat="1" x14ac:dyDescent="0.25">
      <c r="A5" s="3" t="s">
        <v>254</v>
      </c>
      <c r="B5" s="4">
        <v>46294.42456003472</v>
      </c>
    </row>
    <row r="6" spans="1:2" s="3" customFormat="1" x14ac:dyDescent="0.25">
      <c r="A6" s="3" t="s">
        <v>255</v>
      </c>
      <c r="B6" s="3" t="s">
        <v>256</v>
      </c>
    </row>
    <row r="7" spans="1:2" s="3" customFormat="1" x14ac:dyDescent="0.25">
      <c r="A7" s="3" t="s">
        <v>257</v>
      </c>
      <c r="B7" s="3" t="s">
        <v>258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2026-09-29T10:11:21Z</dcterms:created>
  <dcterms:modified xsi:type="dcterms:W3CDTF">2026-09-29T10:11:21Z</dcterms:modified>
</cp:coreProperties>
</file>