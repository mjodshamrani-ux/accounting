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000" windowHeight="10000" firstSheet="0" activeTab="0"/>
  </bookViews>
  <sheets>
    <sheet sheetId="1" name="Summary" state="visible" r:id="rId4"/>
    <sheet sheetId="2" name="Matches" state="visible" r:id="rId5"/>
    <sheet sheetId="3" name="Needs Review" state="visible" r:id="rId6"/>
    <sheet sheetId="4" name="Unmatched" state="visible" r:id="rId7"/>
    <sheet sheetId="5" name="Reconciliation Bridge" state="visible" r:id="rId8"/>
    <sheet sheetId="6" name="Review Sign-off" state="visible" r:id="rId9"/>
    <sheet sheetId="7" name="Diagnostics" state="hidden" r:id="rId10"/>
    <sheet sheetId="8" name="Match Evidence" state="hidden" r:id="rId11"/>
    <sheet sheetId="9" name="Review History" state="hidden" r:id="rId12"/>
    <sheet sheetId="10" name="Supplier transactions" state="hidden" r:id="rId13"/>
    <sheet sheetId="11" name="Ledger transactions" state="hidden" r:id="rId14"/>
    <sheet sheetId="12" name="Excluded Rows" state="hidden" r:id="rId15"/>
    <sheet sheetId="13" name="Run Settings" state="hidden" r:id="rId16"/>
    <sheet sheetId="14" name="Parsed Supplier Source" state="hidden" r:id="rId17"/>
    <sheet sheetId="15" name="Parsed Ledger Source" state="hidden" r:id="rId18"/>
    <sheet sheetId="16" name="PDF Row Origins" state="hidden" r:id="rId19"/>
    <sheet sheetId="17" name="Export Metadata" state="hidden" r:id="rId20"/>
  </sheets>
  <definedNames>
    <definedName name="_xlnm.Print_Titles" localSheetId="0">'Summary'!$1:$1</definedName>
    <definedName name="_xlnm.Print_Titles" localSheetId="1">'Matches'!$1:$1</definedName>
    <definedName name="_xlnm.Print_Titles" localSheetId="2">'Needs Review'!$1:$1</definedName>
    <definedName name="_xlnm.Print_Titles" localSheetId="3">'Unmatched'!$1:$1</definedName>
    <definedName name="_xlnm.Print_Titles" localSheetId="4">'Reconciliation Bridge'!$1:$1</definedName>
    <definedName name="_xlnm.Print_Titles" localSheetId="5">'Review Sign-off'!$1:$1</definedName>
  </definedNames>
  <calcPr calcId="171027" fullCalcOnLoad="1"/>
</workbook>
</file>

<file path=xl/sharedStrings.xml><?xml version="1.0" encoding="utf-8"?>
<sst xmlns="http://schemas.openxmlformats.org/spreadsheetml/2006/main" count="473" uniqueCount="254">
  <si>
    <t>Field / الحقل</t>
  </si>
  <si>
    <t>Value / القيمة</t>
  </si>
  <si>
    <t>Workbook Mode</t>
  </si>
  <si>
    <t>Verified accounting snapshot for review; not a declaration of full reconciliation.</t>
  </si>
  <si>
    <t>Supplier</t>
  </si>
  <si>
    <t>Entity</t>
  </si>
  <si>
    <t>Currency</t>
  </si>
  <si>
    <t>SAR</t>
  </si>
  <si>
    <t>Supplier Period Start</t>
  </si>
  <si>
    <t>Supplier Period End</t>
  </si>
  <si>
    <t>Ledger Period Start</t>
  </si>
  <si>
    <t>Ledger Period End</t>
  </si>
  <si>
    <t>Cut-off Date</t>
  </si>
  <si>
    <t>Supplier Source Type</t>
  </si>
  <si>
    <t>CSV</t>
  </si>
  <si>
    <t>Ledger Source Type</t>
  </si>
  <si>
    <t>Supplier Statement Account</t>
  </si>
  <si>
    <t>Supplier Code</t>
  </si>
  <si>
    <t>AP Control Account</t>
  </si>
  <si>
    <t>Reviewer Status</t>
  </si>
  <si>
    <t>Pending review</t>
  </si>
  <si>
    <t>Supplier Opening Balance</t>
  </si>
  <si>
    <t>Ledger Opening Balance</t>
  </si>
  <si>
    <t>Supplier Closing Balance</t>
  </si>
  <si>
    <t>Ledger Closing Balance</t>
  </si>
  <si>
    <t>Opening Difference</t>
  </si>
  <si>
    <t>Closing Difference</t>
  </si>
  <si>
    <t>Supplier Balance Arithmetic</t>
  </si>
  <si>
    <t>BALANCE_ROW_NOT_FOUND</t>
  </si>
  <si>
    <t>Ledger Balance Arithmetic</t>
  </si>
  <si>
    <t>Supplier Period Status</t>
  </si>
  <si>
    <t>PERIOD_NOT_DETECTED</t>
  </si>
  <si>
    <t>Ledger Period Status</t>
  </si>
  <si>
    <t>Coverage Confirmation Status</t>
  </si>
  <si>
    <t>PERIOD_COVERAGE_UNCONFIRMED</t>
  </si>
  <si>
    <t>Auto Matched Cases</t>
  </si>
  <si>
    <t>Matched Source Rows</t>
  </si>
  <si>
    <t>Needs Review Cases</t>
  </si>
  <si>
    <t>Needs Review Source Rows</t>
  </si>
  <si>
    <t>Unmatched Cases</t>
  </si>
  <si>
    <t>Unmatched Source Rows</t>
  </si>
  <si>
    <t>Manual Matches</t>
  </si>
  <si>
    <t>Rejected Candidates</t>
  </si>
  <si>
    <t>Net Bridge Adjustments</t>
  </si>
  <si>
    <t>Adjusted Supplier Balance</t>
  </si>
  <si>
    <t>Residual</t>
  </si>
  <si>
    <t>Bridge Status</t>
  </si>
  <si>
    <t>Balance bridge prerequisites incomplete</t>
  </si>
  <si>
    <t>Review Cases</t>
  </si>
  <si>
    <t>Open Needs Review</t>
  </si>
  <si>
    <t>Review Sign-off</t>
  </si>
  <si>
    <t>Open Review Sign-off</t>
  </si>
  <si>
    <t>Audit Metadata</t>
  </si>
  <si>
    <t>Version, hashes and export time (hidden audit sheet)</t>
  </si>
  <si>
    <t>Case ID</t>
  </si>
  <si>
    <t>Match Type</t>
  </si>
  <si>
    <t>Supplier Date</t>
  </si>
  <si>
    <t>Supplier References</t>
  </si>
  <si>
    <t>Supplier Amount</t>
  </si>
  <si>
    <t>Ledger Date</t>
  </si>
  <si>
    <t>Ledger References</t>
  </si>
  <si>
    <t>Ledger Amount</t>
  </si>
  <si>
    <t>Group Members</t>
  </si>
  <si>
    <t>Date Gap</t>
  </si>
  <si>
    <t>Rule</t>
  </si>
  <si>
    <t>Evidence</t>
  </si>
  <si>
    <t>Status</t>
  </si>
  <si>
    <t>Reviewer Note</t>
  </si>
  <si>
    <t>Supplier Source Rows</t>
  </si>
  <si>
    <t>Ledger Source Rows</t>
  </si>
  <si>
    <t>Match Decision</t>
  </si>
  <si>
    <t>Supplier Source 1</t>
  </si>
  <si>
    <t>Supplier Source 2</t>
  </si>
  <si>
    <t>Ledger Source 1</t>
  </si>
  <si>
    <t>Ledger Source 2</t>
  </si>
  <si>
    <t>CASE-33665343</t>
  </si>
  <si>
    <t>N:M</t>
  </si>
  <si>
    <t>BANK-P2-441</t>
  </si>
  <si>
    <t>2 supplier / 2 ledger</t>
  </si>
  <si>
    <t>EXPLICIT_PAYMENT_COMPLETE_GROUP_TOTAL_V2</t>
  </si>
  <si>
    <t xml:space="preserve">مطابقة مجموعتين كاملتين بهوية bankReference: BANK-P2-441؛ 2 حركة مورد و2 حركة دفتر؛ إجمالي كل طرف -100.00 SAR.
هذه النتيجة تثبت تكافؤ مجموعتي الدفعة، ولا تثبت مقابلة كل صف بصف معين أو تخصيص الدفعة لفواتير. استُخدم جميع أعضاء الهوية في المصدرين، وفُحصت الهويات المتداخلة قبل الاعتماد، دون البحث عن مجموعات جزئية.</t>
  </si>
  <si>
    <t>Matched</t>
  </si>
  <si>
    <t>Auto</t>
  </si>
  <si>
    <t>supplier · CSV · row 2</t>
  </si>
  <si>
    <t>supplier · CSV · row 3</t>
  </si>
  <si>
    <t>ledger · CSV · row 2</t>
  </si>
  <si>
    <t>ledger · CSV · row 3</t>
  </si>
  <si>
    <t>Classification</t>
  </si>
  <si>
    <t>Supplier Members</t>
  </si>
  <si>
    <t>Ledger Members</t>
  </si>
  <si>
    <t>Supplier Total</t>
  </si>
  <si>
    <t>Ledger Total</t>
  </si>
  <si>
    <t>Variance</t>
  </si>
  <si>
    <t>Why Review Is Required</t>
  </si>
  <si>
    <t>Suggested Action</t>
  </si>
  <si>
    <t>User Decision</t>
  </si>
  <si>
    <t>User Reason</t>
  </si>
  <si>
    <t>Side</t>
  </si>
  <si>
    <t>Date</t>
  </si>
  <si>
    <t>Document Type</t>
  </si>
  <si>
    <t>Reference</t>
  </si>
  <si>
    <t>PO / Voucher / Bank Ref</t>
  </si>
  <si>
    <t>Description</t>
  </si>
  <si>
    <t>Amount</t>
  </si>
  <si>
    <t>Reason</t>
  </si>
  <si>
    <t>Source Link</t>
  </si>
  <si>
    <t>Source Rows</t>
  </si>
  <si>
    <t>Adjustment From Supplier to Ledger</t>
  </si>
  <si>
    <t>Explanation</t>
  </si>
  <si>
    <t>Review Status</t>
  </si>
  <si>
    <t>Supporting Source</t>
  </si>
  <si>
    <t>Balance bridge prerequisites are incomplete. Case adjustments above are transaction effects only.</t>
  </si>
  <si>
    <t>Reviewer Name</t>
  </si>
  <si>
    <t>Synthetic P2 reviewer</t>
  </si>
  <si>
    <t>Review Date</t>
  </si>
  <si>
    <t>Coverage Confirmed</t>
  </si>
  <si>
    <t>Pending user confirmation</t>
  </si>
  <si>
    <t>Review Completed</t>
  </si>
  <si>
    <t>Pending</t>
  </si>
  <si>
    <t>Approved / Not Approved</t>
  </si>
  <si>
    <t>Not approved — review completion is not an approval declaration</t>
  </si>
  <si>
    <t>Notes</t>
  </si>
  <si>
    <t>Browser acceptance of complete groups and documented review decisions.</t>
  </si>
  <si>
    <t>Snapshot. Editing this workbook does not change TARASUF decisions, evidence or matching status. Record decisions in TARASUF and export a new snapshot.</t>
  </si>
  <si>
    <t>Review History</t>
  </si>
  <si>
    <t>Recorded actions</t>
  </si>
  <si>
    <t>الرمز</t>
  </si>
  <si>
    <t>التفسير</t>
  </si>
  <si>
    <t>حركات المصدر</t>
  </si>
  <si>
    <t>المورد: لم يُستخرج رصيد كافٍ لاختبار المعادلة.</t>
  </si>
  <si>
    <t/>
  </si>
  <si>
    <t>المورد: لم يؤكد المستخدم بعد اكتمال تغطية الفترة. هذا لا يغيّر نتيجة اختبار معادلة الرصيد.</t>
  </si>
  <si>
    <t>الدفتر: لم يُستخرج رصيد كافٍ لاختبار المعادلة.</t>
  </si>
  <si>
    <t>الدفتر: لم يؤكد المستخدم بعد اكتمال تغطية الفترة. هذا لا يغيّر نتيجة اختبار معادلة الرصيد.</t>
  </si>
  <si>
    <t>EXACT_MANY_TO_MANY</t>
  </si>
  <si>
    <t>supplier:0:2 | supplier:0:3 | ledger:0:2 | ledger:0:3</t>
  </si>
  <si>
    <t>Source Row ID</t>
  </si>
  <si>
    <t>Source Sheet</t>
  </si>
  <si>
    <t>Source Row</t>
  </si>
  <si>
    <t>PDF Page</t>
  </si>
  <si>
    <t>Primary Reference</t>
  </si>
  <si>
    <t>Document Reference</t>
  </si>
  <si>
    <t>Voucher Reference</t>
  </si>
  <si>
    <t>PO Reference</t>
  </si>
  <si>
    <t>Bank Reference</t>
  </si>
  <si>
    <t>Receipt Reference</t>
  </si>
  <si>
    <t>Reviewer Decision</t>
  </si>
  <si>
    <t>Reviewer Reason</t>
  </si>
  <si>
    <t>Retained Evidence</t>
  </si>
  <si>
    <t>supplier</t>
  </si>
  <si>
    <t>supplier:0:2</t>
  </si>
  <si>
    <t>SUP-PAY-441-1</t>
  </si>
  <si>
    <t>SUP-VOUCHER-441-1</t>
  </si>
  <si>
    <t>supplier:0:3</t>
  </si>
  <si>
    <t>SUP-PAY-441-2</t>
  </si>
  <si>
    <t>SUP-VOUCHER-441-2</t>
  </si>
  <si>
    <t>ledger</t>
  </si>
  <si>
    <t>ledger:0:2</t>
  </si>
  <si>
    <t>LED-PAY-441-1</t>
  </si>
  <si>
    <t>LED-VOUCHER-441-1</t>
  </si>
  <si>
    <t>ledger:0:3</t>
  </si>
  <si>
    <t>LED-PAY-441-2</t>
  </si>
  <si>
    <t>LED-VOUCHER-441-2</t>
  </si>
  <si>
    <t>Timestamp</t>
  </si>
  <si>
    <t>Action</t>
  </si>
  <si>
    <t>Source Row IDs</t>
  </si>
  <si>
    <t>compare</t>
  </si>
  <si>
    <t>تأكيد الإعدادات وتشغيل المقارنة: حتى 2026-07-31، SAR، فرق الأيام المسموح 2</t>
  </si>
  <si>
    <t>المعرف</t>
  </si>
  <si>
    <t>الورقة</t>
  </si>
  <si>
    <t>صف المصدر</t>
  </si>
  <si>
    <t>التاريخ</t>
  </si>
  <si>
    <t>المرجع الأصلي</t>
  </si>
  <si>
    <t>المرجع الموحد</t>
  </si>
  <si>
    <t>الوصف</t>
  </si>
  <si>
    <t>المبلغ الموحد</t>
  </si>
  <si>
    <t>المبلغ الأصلي</t>
  </si>
  <si>
    <t>صفحة PDF الأصلية</t>
  </si>
  <si>
    <t>BANKP2441</t>
  </si>
  <si>
    <t>supplier payment part 1</t>
  </si>
  <si>
    <t>-40.00</t>
  </si>
  <si>
    <t>supplier payment part 2</t>
  </si>
  <si>
    <t>-60.00</t>
  </si>
  <si>
    <t>ledger payment part 1</t>
  </si>
  <si>
    <t>-25.00</t>
  </si>
  <si>
    <t>ledger payment part 2</t>
  </si>
  <si>
    <t>-75.00</t>
  </si>
  <si>
    <t>الطرف</t>
  </si>
  <si>
    <t>سبب الاستبعاد</t>
  </si>
  <si>
    <t>المحتوى</t>
  </si>
  <si>
    <t>المورد</t>
  </si>
  <si>
    <t>صف العناوين المؤكد</t>
  </si>
  <si>
    <t>["Date","Document No","Reference","Amount","Type","Bank Reference","Receipt No","Voucher No","Description","Currency","PO"]</t>
  </si>
  <si>
    <t>الدفتر</t>
  </si>
  <si>
    <t>الحقل</t>
  </si>
  <si>
    <t>القيمة</t>
  </si>
  <si>
    <t>Scope</t>
  </si>
  <si>
    <t>{"supplier":"","entity":"","account":"","currency":"SAR","decimals":2,"cutoff":"2026-07-31","dateWindow":2,"confirmed":true,"coverageConfirmed":false}</t>
  </si>
  <si>
    <t>Supplier mapping</t>
  </si>
  <si>
    <t>{"sheet":0,"header":0,"date":0,"reference":1,"description":8,"amount":3,"debit":-1,"credit":-1,"currencyColumn":9,"mode":"signed","multiplier":1,"numberFormat":"dot","dateFormat":"ymd","reportType":"transactions","opening":"","closing":"","periodStart":"","excluded":{},"pdfReviewed":false}</t>
  </si>
  <si>
    <t>Ledger mapping</t>
  </si>
  <si>
    <t>Supplier PDF layout</t>
  </si>
  <si>
    <t>null</t>
  </si>
  <si>
    <t>Ledger PDF layout</t>
  </si>
  <si>
    <t>Supplier metadata</t>
  </si>
  <si>
    <t>{"openingBalance":null,"closingBalance":null,"periodStart":"","periodEnd":"","supplierStatementAccount":"","supplierCode":"","apControlAccount":"","supplierName":"","entityName":"","currency":"SAR","balanceRowReference":{},"evidence":[{"field":"currency","value":"SAR","sheet":"CSV","row":2,"column":10,"originalValue":"SAR","method":"literal"}],"warnings":[]}</t>
  </si>
  <si>
    <t>Ledger metadata</t>
  </si>
  <si>
    <t>Rejected pairs</t>
  </si>
  <si>
    <t>[]</t>
  </si>
  <si>
    <t>Ambiguous source rows</t>
  </si>
  <si>
    <t>Candidate links (not approvals)</t>
  </si>
  <si>
    <t>{}</t>
  </si>
  <si>
    <t>Supplier filename</t>
  </si>
  <si>
    <t>group-supplier.csv</t>
  </si>
  <si>
    <t>Ledger filename</t>
  </si>
  <si>
    <t>group-ledger.csv</t>
  </si>
  <si>
    <t>تحذيرات المورد</t>
  </si>
  <si>
    <t>تحذيرات الدفتر</t>
  </si>
  <si>
    <t>حفظ البيانات</t>
  </si>
  <si>
    <t>تُحفظ البيانات في ملف Excel الذي يختار المستخدم تصديره، ولا تُحفظ على خادم.</t>
  </si>
  <si>
    <t>عمود 1</t>
  </si>
  <si>
    <t>عمود 2</t>
  </si>
  <si>
    <t>عمود 3</t>
  </si>
  <si>
    <t>عمود 4</t>
  </si>
  <si>
    <t>عمود 5</t>
  </si>
  <si>
    <t>عمود 6</t>
  </si>
  <si>
    <t>عمود 7</t>
  </si>
  <si>
    <t>عمود 8</t>
  </si>
  <si>
    <t>عمود 9</t>
  </si>
  <si>
    <t>عمود 10</t>
  </si>
  <si>
    <t>عمود 11</t>
  </si>
  <si>
    <t>Document No</t>
  </si>
  <si>
    <t>Type</t>
  </si>
  <si>
    <t>Receipt No</t>
  </si>
  <si>
    <t>Voucher No</t>
  </si>
  <si>
    <t>PO</t>
  </si>
  <si>
    <t>2026-07-15</t>
  </si>
  <si>
    <t>Payment</t>
  </si>
  <si>
    <t>صف الاستخراج</t>
  </si>
  <si>
    <t>صفحة PDF</t>
  </si>
  <si>
    <t>المحتوى المستخرج</t>
  </si>
  <si>
    <t>Field</t>
  </si>
  <si>
    <t>Value</t>
  </si>
  <si>
    <t>Engine version</t>
  </si>
  <si>
    <t>0.3.19-experimental</t>
  </si>
  <si>
    <t>Supplier SHA-256</t>
  </si>
  <si>
    <t>a83a12f628d783dc5b03d596098630de9c8302627ce24bc7b47b614a3d2229eb</t>
  </si>
  <si>
    <t>Ledger SHA-256</t>
  </si>
  <si>
    <t>28b57c97fb74abb6759f56957cfedcc00d6421aaa7623e6bd35ec907ed4114fa</t>
  </si>
  <si>
    <t>Export time</t>
  </si>
  <si>
    <t>Workbook mode</t>
  </si>
  <si>
    <t>Verified snapshot; workbook edits do not change engine decisions</t>
  </si>
  <si>
    <t>Parsed source meaning</t>
  </si>
  <si>
    <t>Extracted cells with original source row numbers, not visual reproductions of the original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</si>
</sst>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color theme="1"/>
      <family val="2"/>
      <scheme val="minor"/>
      <sz val="11"/>
      <name val="Calibri"/>
    </font>
    <font>
      <b/>
      <color rgb="FFFFFFFF"/>
    </font>
    <font>
      <b/>
      <color rgb="FF24465D"/>
    </font>
    <font>
      <u/>
      <color rgb="FF245A81"/>
    </font>
    <font>
      <b/>
    </font>
  </fonts>
  <fills count="5">
    <fill>
      <patternFill patternType="none"/>
    </fill>
    <fill>
      <patternFill patternType="gray125"/>
    </fill>
    <fill>
      <patternFill patternType="solid">
        <fgColor rgb="FF31556B"/>
      </patternFill>
    </fill>
    <fill>
      <patternFill patternType="solid">
        <fgColor rgb="FFE4F0E9"/>
      </patternFill>
    </fill>
    <fill>
      <patternFill patternType="solid">
        <fgColor rgb="FF155C4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vertical="top" wrapText="1" readingOrder="1"/>
    </xf>
    <xf numFmtId="0" fontId="0" fillId="0" borderId="0" xfId="0" applyAlignment="1">
      <alignment vertical="top" wrapText="1" readingOrder="1"/>
    </xf>
    <xf numFmtId="164" fontId="0" fillId="0" borderId="0" xfId="0" applyNumberFormat="1" applyAlignment="1">
      <alignment vertical="top" wrapText="1" readingOrder="1"/>
    </xf>
    <xf numFmtId="4" fontId="2" fillId="0" borderId="0" xfId="0" applyNumberFormat="1" applyFont="1" applyAlignment="1">
      <alignment vertical="top" wrapText="1" readingOrder="1"/>
    </xf>
    <xf numFmtId="0" fontId="2" fillId="0" borderId="0" xfId="0" applyFont="1" applyAlignment="1">
      <alignment vertical="top" wrapText="1" readingOrder="1"/>
    </xf>
    <xf numFmtId="4" fontId="0" fillId="0" borderId="0" xfId="0" applyNumberFormat="1"/>
    <xf numFmtId="4" fontId="1" fillId="2" borderId="0" xfId="0" applyNumberFormat="1" applyFont="1" applyFill="1" applyAlignment="1">
      <alignment vertical="top" wrapText="1" readingOrder="1"/>
    </xf>
    <xf numFmtId="0" fontId="0" fillId="3" borderId="0" xfId="0" applyFill="1"/>
    <xf numFmtId="0" fontId="0" fillId="3" borderId="0" xfId="0" applyFill="1" applyAlignment="1">
      <alignment vertical="top" wrapText="1" readingOrder="1"/>
    </xf>
    <xf numFmtId="164" fontId="0" fillId="3" borderId="0" xfId="0" applyNumberFormat="1" applyFill="1" applyAlignment="1">
      <alignment vertical="top" wrapText="1" readingOrder="1"/>
    </xf>
    <xf numFmtId="4" fontId="0" fillId="3" borderId="0" xfId="0" applyNumberFormat="1" applyFill="1" applyAlignment="1">
      <alignment vertical="top" wrapText="1" readingOrder="1"/>
    </xf>
    <xf numFmtId="0" fontId="3" fillId="3" borderId="0" xfId="0" applyFont="1" applyFill="1" applyAlignment="1">
      <alignment vertical="top" wrapText="1" readingOrder="1"/>
    </xf>
    <xf numFmtId="4" fontId="4" fillId="0" borderId="0" xfId="0" applyNumberFormat="1" applyFont="1" applyAlignment="1">
      <alignment vertical="center" wrapText="1" readingOrder="1"/>
    </xf>
    <xf numFmtId="0" fontId="0" fillId="0" borderId="0" xfId="0" applyAlignment="1">
      <alignment wrapText="1"/>
    </xf>
    <xf numFmtId="0" fontId="3" fillId="0" borderId="0" xfId="0" applyFont="1" applyAlignment="1">
      <alignment vertical="top" wrapText="1" readingOrder="1"/>
    </xf>
    <xf numFmtId="0" fontId="1" fillId="4" borderId="0" xfId="0" applyFont="1" applyFill="1"/>
    <xf numFmtId="4" fontId="1" fillId="4" borderId="0" xfId="0" applyNumberFormat="1" applyFont="1" applyFill="1"/>
    <xf numFmtId="4" fontId="0" fillId="0" borderId="0" xfId="0" applyNumberFormat="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Needs Review&apos;!A1" TargetMode="External"/><Relationship Id="rId2" Type="http://schemas.openxmlformats.org/officeDocument/2006/relationships/hyperlink" Target="#&apos;Review Sign-off&apos;!A1" TargetMode="External"/><Relationship Id="rId3" Type="http://schemas.openxmlformats.org/officeDocument/2006/relationships/hyperlink" Target="#&apos;Export Metadata&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eview History&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arsed Supplier Source&apos;!A3" TargetMode="External"/><Relationship Id="rId2" Type="http://schemas.openxmlformats.org/officeDocument/2006/relationships/hyperlink" Target="#&apos;Parsed Supplier Source&apos;!A4" TargetMode="External"/><Relationship Id="rId3" Type="http://schemas.openxmlformats.org/officeDocument/2006/relationships/hyperlink" Target="#&apos;Parsed Ledger Source&apos;!A3" TargetMode="External"/><Relationship Id="rId4" Type="http://schemas.openxmlformats.org/officeDocument/2006/relationships/hyperlink" Target="#&apos;Parsed Ledger Source&apos;!A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42"/>
  <sheetViews>
    <sheetView workbookViewId="0" rightToLeft="1">
      <pane ySplit="1" topLeftCell="A2" activePane="bottomLeft" state="frozen"/>
      <selection pane="bottomLeft"/>
    </sheetView>
  </sheetViews>
  <sheetFormatPr defaultRowHeight="15" outlineLevelRow="0" outlineLevelCol="0" x14ac:dyDescent="55"/>
  <cols>
    <col min="1" max="1" width="37" customWidth="1"/>
    <col min="2" max="2" width="88" customWidth="1"/>
  </cols>
  <sheetData>
    <row r="1" ht="32" customHeight="1" spans="1:2" s="1" customFormat="1" x14ac:dyDescent="0.25">
      <c r="A1" s="2" t="s">
        <v>0</v>
      </c>
      <c r="B1" s="2" t="s">
        <v>1</v>
      </c>
    </row>
    <row r="2" ht="30" customHeight="1" spans="1:2" s="3" customFormat="1" x14ac:dyDescent="0.25">
      <c r="A2" s="3" t="s">
        <v>2</v>
      </c>
      <c r="B2" s="3" t="s">
        <v>3</v>
      </c>
    </row>
    <row r="3" ht="30" customHeight="1" spans="1:2" s="3" customFormat="1" x14ac:dyDescent="0.25">
      <c r="A3" s="3" t="s">
        <v>4</v>
      </c>
      <c r="B3" s="3"/>
    </row>
    <row r="4" ht="30" customHeight="1" spans="1:2" s="3" customFormat="1" x14ac:dyDescent="0.25">
      <c r="A4" s="3" t="s">
        <v>5</v>
      </c>
      <c r="B4" s="3"/>
    </row>
    <row r="5" ht="30" customHeight="1" spans="1:2" s="3" customFormat="1" x14ac:dyDescent="0.25">
      <c r="A5" s="3" t="s">
        <v>6</v>
      </c>
      <c r="B5" s="3" t="s">
        <v>7</v>
      </c>
    </row>
    <row r="6" ht="30" customHeight="1" spans="1:2" s="3" customFormat="1" x14ac:dyDescent="0.25">
      <c r="A6" s="3" t="s">
        <v>8</v>
      </c>
      <c r="B6" s="4"/>
    </row>
    <row r="7" ht="30" customHeight="1" spans="1:2" s="3" customFormat="1" x14ac:dyDescent="0.25">
      <c r="A7" s="3" t="s">
        <v>9</v>
      </c>
      <c r="B7" s="4"/>
    </row>
    <row r="8" ht="30" customHeight="1" spans="1:2" s="3" customFormat="1" x14ac:dyDescent="0.25">
      <c r="A8" s="3" t="s">
        <v>10</v>
      </c>
      <c r="B8" s="4"/>
    </row>
    <row r="9" ht="30" customHeight="1" spans="1:2" s="3" customFormat="1" x14ac:dyDescent="0.25">
      <c r="A9" s="3" t="s">
        <v>11</v>
      </c>
      <c r="B9" s="4"/>
    </row>
    <row r="10" ht="30" customHeight="1" spans="1:2" s="3" customFormat="1" x14ac:dyDescent="0.25">
      <c r="A10" s="3" t="s">
        <v>12</v>
      </c>
      <c r="B10" s="4">
        <v>46234</v>
      </c>
    </row>
    <row r="11" ht="30" customHeight="1" spans="1:2" s="3" customFormat="1" x14ac:dyDescent="0.25">
      <c r="A11" s="3" t="s">
        <v>13</v>
      </c>
      <c r="B11" s="3" t="s">
        <v>14</v>
      </c>
    </row>
    <row r="12" ht="30" customHeight="1" spans="1:2" s="3" customFormat="1" x14ac:dyDescent="0.25">
      <c r="A12" s="3" t="s">
        <v>15</v>
      </c>
      <c r="B12" s="3" t="s">
        <v>14</v>
      </c>
    </row>
    <row r="13" ht="30" customHeight="1" spans="1:2" s="3" customFormat="1" x14ac:dyDescent="0.25">
      <c r="A13" s="3" t="s">
        <v>16</v>
      </c>
      <c r="B13" s="3"/>
    </row>
    <row r="14" ht="30" customHeight="1" spans="1:2" s="3" customFormat="1" x14ac:dyDescent="0.25">
      <c r="A14" s="3" t="s">
        <v>17</v>
      </c>
      <c r="B14" s="3"/>
    </row>
    <row r="15" ht="30" customHeight="1" spans="1:2" s="3" customFormat="1" x14ac:dyDescent="0.25">
      <c r="A15" s="3" t="s">
        <v>18</v>
      </c>
      <c r="B15" s="3"/>
    </row>
    <row r="16" ht="30" customHeight="1" spans="1:2" s="3" customFormat="1" x14ac:dyDescent="0.25">
      <c r="A16" s="3" t="s">
        <v>19</v>
      </c>
      <c r="B16" s="3" t="s">
        <v>20</v>
      </c>
    </row>
    <row r="17" ht="30" customHeight="1" spans="1:2" s="3" customFormat="1" x14ac:dyDescent="0.25">
      <c r="A17" s="3" t="s">
        <v>21</v>
      </c>
      <c r="B17" s="5"/>
    </row>
    <row r="18" ht="30" customHeight="1" spans="1:2" s="3" customFormat="1" x14ac:dyDescent="0.25">
      <c r="A18" s="3" t="s">
        <v>22</v>
      </c>
      <c r="B18" s="5"/>
    </row>
    <row r="19" ht="30" customHeight="1" spans="1:2" s="3" customFormat="1" x14ac:dyDescent="0.25">
      <c r="A19" s="3" t="s">
        <v>23</v>
      </c>
      <c r="B19" s="5"/>
    </row>
    <row r="20" ht="30" customHeight="1" spans="1:2" s="3" customFormat="1" x14ac:dyDescent="0.25">
      <c r="A20" s="3" t="s">
        <v>24</v>
      </c>
      <c r="B20" s="5"/>
    </row>
    <row r="21" ht="30" customHeight="1" spans="1:2" s="3" customFormat="1" x14ac:dyDescent="0.25">
      <c r="A21" s="3" t="s">
        <v>25</v>
      </c>
      <c r="B21" s="5"/>
    </row>
    <row r="22" ht="30" customHeight="1" spans="1:2" s="3" customFormat="1" x14ac:dyDescent="0.25">
      <c r="A22" s="3" t="s">
        <v>26</v>
      </c>
      <c r="B22" s="5"/>
    </row>
    <row r="23" ht="30" customHeight="1" spans="1:2" s="3" customFormat="1" x14ac:dyDescent="0.25">
      <c r="A23" s="3" t="s">
        <v>27</v>
      </c>
      <c r="B23" s="3" t="s">
        <v>28</v>
      </c>
    </row>
    <row r="24" ht="30" customHeight="1" spans="1:2" s="3" customFormat="1" x14ac:dyDescent="0.25">
      <c r="A24" s="3" t="s">
        <v>29</v>
      </c>
      <c r="B24" s="3" t="s">
        <v>28</v>
      </c>
    </row>
    <row r="25" ht="30" customHeight="1" spans="1:2" s="3" customFormat="1" x14ac:dyDescent="0.25">
      <c r="A25" s="3" t="s">
        <v>30</v>
      </c>
      <c r="B25" s="3" t="s">
        <v>31</v>
      </c>
    </row>
    <row r="26" ht="30" customHeight="1" spans="1:2" s="3" customFormat="1" x14ac:dyDescent="0.25">
      <c r="A26" s="3" t="s">
        <v>32</v>
      </c>
      <c r="B26" s="3" t="s">
        <v>31</v>
      </c>
    </row>
    <row r="27" ht="30" customHeight="1" spans="1:2" s="3" customFormat="1" x14ac:dyDescent="0.25">
      <c r="A27" s="3" t="s">
        <v>33</v>
      </c>
      <c r="B27" s="3" t="s">
        <v>34</v>
      </c>
    </row>
    <row r="28" ht="30" customHeight="1" spans="1:2" s="3" customFormat="1" x14ac:dyDescent="0.25">
      <c r="A28" s="3" t="s">
        <v>35</v>
      </c>
      <c r="B28" s="6">
        <f>COUNTIF('Matches'!Q2:Q2,"Auto")</f>
        <v>1</v>
      </c>
    </row>
    <row r="29" ht="30" customHeight="1" spans="1:2" s="3" customFormat="1" x14ac:dyDescent="0.25">
      <c r="A29" s="3" t="s">
        <v>36</v>
      </c>
      <c r="B29" s="6">
        <f>SUM('Matches'!O2:P2)</f>
        <v>4</v>
      </c>
    </row>
    <row r="30" ht="30" customHeight="1" spans="1:2" s="3" customFormat="1" x14ac:dyDescent="0.25">
      <c r="A30" s="3" t="s">
        <v>37</v>
      </c>
      <c r="B30" s="6">
        <f>COUNTIF('Needs Review'!M2:M2,"Needs Review")</f>
        <v>0</v>
      </c>
    </row>
    <row r="31" ht="30" customHeight="1" spans="1:2" s="3" customFormat="1" x14ac:dyDescent="0.25">
      <c r="A31" s="3" t="s">
        <v>38</v>
      </c>
      <c r="B31" s="6">
        <f>SUMIF('Needs Review'!M2:M2,"Needs Review",'Needs Review'!N2:N2)+SUMIF('Needs Review'!M2:M2,"Needs Review",'Needs Review'!O2:O2)</f>
        <v>0</v>
      </c>
    </row>
    <row r="32" ht="30" customHeight="1" spans="1:2" s="3" customFormat="1" x14ac:dyDescent="0.25">
      <c r="A32" s="3" t="s">
        <v>39</v>
      </c>
      <c r="B32" s="6">
        <f>COUNTA('Unmatched'!A2:A2)</f>
        <v>0</v>
      </c>
    </row>
    <row r="33" ht="30" customHeight="1" spans="1:2" s="3" customFormat="1" x14ac:dyDescent="0.25">
      <c r="A33" s="3" t="s">
        <v>40</v>
      </c>
      <c r="B33" s="6">
        <f>SUM('Unmatched'!K2:K2)</f>
        <v>0</v>
      </c>
    </row>
    <row r="34" ht="30" customHeight="1" spans="1:2" s="3" customFormat="1" x14ac:dyDescent="0.25">
      <c r="A34" s="3" t="s">
        <v>41</v>
      </c>
      <c r="B34" s="3">
        <f>COUNTIF('Matches'!Q2:Q2,"Manual")</f>
        <v>0</v>
      </c>
    </row>
    <row r="35" ht="30" customHeight="1" spans="1:2" s="3" customFormat="1" x14ac:dyDescent="0.25">
      <c r="A35" s="3" t="s">
        <v>42</v>
      </c>
      <c r="B35" s="3">
        <f>COUNTIF('Needs Review'!M2:M2,"Rejected")</f>
        <v>0</v>
      </c>
    </row>
    <row r="36" ht="30" customHeight="1" spans="1:2" s="3" customFormat="1" x14ac:dyDescent="0.25">
      <c r="A36" s="3" t="s">
        <v>43</v>
      </c>
      <c r="B36" s="5">
        <f>'Reconciliation Bridge'!E3</f>
        <v>0</v>
      </c>
    </row>
    <row r="37" ht="30" customHeight="1" spans="1:2" s="3" customFormat="1" x14ac:dyDescent="0.25">
      <c r="A37" s="3" t="s">
        <v>44</v>
      </c>
      <c r="B37" s="5"/>
    </row>
    <row r="38" ht="30" customHeight="1" spans="1:2" s="3" customFormat="1" x14ac:dyDescent="0.25">
      <c r="A38" s="3" t="s">
        <v>45</v>
      </c>
      <c r="B38" s="5"/>
    </row>
    <row r="39" ht="30" customHeight="1" spans="1:2" s="3" customFormat="1" x14ac:dyDescent="0.25">
      <c r="A39" s="3" t="s">
        <v>46</v>
      </c>
      <c r="B39" s="3" t="s">
        <v>47</v>
      </c>
    </row>
    <row r="40" ht="30" customHeight="1" spans="1:2" s="3" customFormat="1" x14ac:dyDescent="0.25">
      <c r="A40" s="3" t="s">
        <v>48</v>
      </c>
      <c r="B40" s="6" t="s">
        <v>49</v>
      </c>
    </row>
    <row r="41" ht="30" customHeight="1" spans="1:2" s="3" customFormat="1" x14ac:dyDescent="0.25">
      <c r="A41" s="3" t="s">
        <v>50</v>
      </c>
      <c r="B41" s="3" t="s">
        <v>51</v>
      </c>
    </row>
    <row r="42" ht="30" customHeight="1" spans="1:2" s="3" customFormat="1" x14ac:dyDescent="0.25">
      <c r="A42" s="3" t="s">
        <v>52</v>
      </c>
      <c r="B42" s="3" t="s">
        <v>53</v>
      </c>
    </row>
  </sheetData>
  <autoFilter ref="A1:B42"/>
  <hyperlinks>
    <hyperlink ref="B40" r:id="rId1" location="#'Needs Review'!A1"/>
    <hyperlink ref="B41" r:id="rId2" location="#'Review Sign-off'!A1"/>
    <hyperlink ref="B42" r:id="rId3" location="#'Export Metadata'!A1"/>
  </hyperlinks>
  <pageMargins left="0.7" right="0.7" top="0.75" bottom="0.75" header="0.3" footer="0.3"/>
  <pageSetup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3" customWidth="1"/>
    <col min="3" max="3" width="15" customWidth="1"/>
    <col min="4" max="4" width="27" customWidth="1"/>
    <col min="5" max="5" width="19" style="7" customWidth="1"/>
    <col min="6" max="6" width="15" customWidth="1"/>
    <col min="7" max="7" width="27" customWidth="1"/>
    <col min="8" max="8" width="19" style="7" customWidth="1"/>
    <col min="9" max="9" width="25" customWidth="1"/>
    <col min="10" max="10" width="13" customWidth="1"/>
    <col min="11" max="11" width="27" customWidth="1"/>
    <col min="12" max="12" width="65" customWidth="1"/>
    <col min="13" max="13" width="15" customWidth="1"/>
    <col min="14" max="14" width="42" customWidth="1"/>
    <col min="15" max="16" width="16" customWidth="1"/>
    <col min="17" max="17" width="18" customWidth="1"/>
    <col min="18" max="21" width="30" customWidth="1"/>
  </cols>
  <sheetData>
    <row r="1" ht="32" customHeight="1" spans="1:21" s="1" customFormat="1" x14ac:dyDescent="0.25">
      <c r="A1" s="2" t="s">
        <v>54</v>
      </c>
      <c r="B1" s="2" t="s">
        <v>55</v>
      </c>
      <c r="C1" s="2" t="s">
        <v>56</v>
      </c>
      <c r="D1" s="2" t="s">
        <v>57</v>
      </c>
      <c r="E1" s="8" t="s">
        <v>58</v>
      </c>
      <c r="F1" s="2" t="s">
        <v>59</v>
      </c>
      <c r="G1" s="2" t="s">
        <v>60</v>
      </c>
      <c r="H1" s="8" t="s">
        <v>61</v>
      </c>
      <c r="I1" s="2" t="s">
        <v>62</v>
      </c>
      <c r="J1" s="2" t="s">
        <v>63</v>
      </c>
      <c r="K1" s="2" t="s">
        <v>64</v>
      </c>
      <c r="L1" s="2" t="s">
        <v>65</v>
      </c>
      <c r="M1" s="2" t="s">
        <v>66</v>
      </c>
      <c r="N1" s="2" t="s">
        <v>67</v>
      </c>
      <c r="O1" s="2" t="s">
        <v>68</v>
      </c>
      <c r="P1" s="2" t="s">
        <v>69</v>
      </c>
      <c r="Q1" s="2" t="s">
        <v>70</v>
      </c>
      <c r="R1" s="2" t="s">
        <v>71</v>
      </c>
      <c r="S1" s="2" t="s">
        <v>72</v>
      </c>
      <c r="T1" s="2" t="s">
        <v>73</v>
      </c>
      <c r="U1" s="2" t="s">
        <v>74</v>
      </c>
    </row>
    <row r="2" ht="42" customHeight="1" spans="1:21" s="9" customFormat="1" x14ac:dyDescent="0.25">
      <c r="A2" s="10" t="s">
        <v>75</v>
      </c>
      <c r="B2" s="10" t="s">
        <v>76</v>
      </c>
      <c r="C2" s="11">
        <v>46218</v>
      </c>
      <c r="D2" s="10" t="s">
        <v>77</v>
      </c>
      <c r="E2" s="12">
        <v>-100</v>
      </c>
      <c r="F2" s="11">
        <v>46218</v>
      </c>
      <c r="G2" s="10" t="s">
        <v>77</v>
      </c>
      <c r="H2" s="12">
        <v>-100</v>
      </c>
      <c r="I2" s="10" t="s">
        <v>78</v>
      </c>
      <c r="J2" s="10">
        <v>0</v>
      </c>
      <c r="K2" s="10" t="s">
        <v>79</v>
      </c>
      <c r="L2" s="10" t="s">
        <v>80</v>
      </c>
      <c r="M2" s="10" t="s">
        <v>81</v>
      </c>
      <c r="N2" s="9"/>
      <c r="O2" s="10">
        <v>2</v>
      </c>
      <c r="P2" s="10">
        <v>2</v>
      </c>
      <c r="Q2" s="10" t="s">
        <v>82</v>
      </c>
      <c r="R2" s="13" t="s">
        <v>83</v>
      </c>
      <c r="S2" s="13" t="s">
        <v>84</v>
      </c>
      <c r="T2" s="13" t="s">
        <v>85</v>
      </c>
      <c r="U2" s="13" t="s">
        <v>86</v>
      </c>
    </row>
  </sheetData>
  <autoFilter ref="A1:U2"/>
  <hyperlinks>
    <hyperlink ref="R2" r:id="rId1" location="#'Parsed Supplier Source'!A3"/>
    <hyperlink ref="S2" r:id="rId2" location="#'Parsed Supplier Source'!A4"/>
    <hyperlink ref="T2" r:id="rId3" location="#'Parsed Ledger Source'!A3"/>
    <hyperlink ref="U2" r:id="rId4" location="#'Parsed Ledger Source'!A4"/>
  </hyperlinks>
  <pageMargins left="0.7" right="0.7" top="0.75" bottom="0.75" header="0.3" footer="0.3"/>
  <pageSetup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25" customWidth="1"/>
    <col min="3" max="4" width="43" customWidth="1"/>
    <col min="5" max="7" width="19" style="7" customWidth="1"/>
    <col min="8" max="8" width="65" customWidth="1"/>
    <col min="9" max="10" width="58" customWidth="1"/>
    <col min="11" max="11" width="18" customWidth="1"/>
    <col min="12" max="12" width="42" customWidth="1"/>
    <col min="13" max="13" width="18" customWidth="1"/>
    <col min="14" max="15" width="16" customWidth="1"/>
  </cols>
  <sheetData>
    <row r="1" ht="32" customHeight="1" spans="1:15" s="1" customFormat="1" x14ac:dyDescent="0.25">
      <c r="A1" s="2" t="s">
        <v>54</v>
      </c>
      <c r="B1" s="2" t="s">
        <v>87</v>
      </c>
      <c r="C1" s="2" t="s">
        <v>88</v>
      </c>
      <c r="D1" s="2" t="s">
        <v>89</v>
      </c>
      <c r="E1" s="8" t="s">
        <v>90</v>
      </c>
      <c r="F1" s="8" t="s">
        <v>91</v>
      </c>
      <c r="G1" s="8" t="s">
        <v>92</v>
      </c>
      <c r="H1" s="2" t="s">
        <v>65</v>
      </c>
      <c r="I1" s="2" t="s">
        <v>93</v>
      </c>
      <c r="J1" s="2" t="s">
        <v>94</v>
      </c>
      <c r="K1" s="2" t="s">
        <v>95</v>
      </c>
      <c r="L1" s="2" t="s">
        <v>96</v>
      </c>
      <c r="M1" s="2" t="s">
        <v>66</v>
      </c>
      <c r="N1" s="2" t="s">
        <v>68</v>
      </c>
      <c r="O1" s="2" t="s">
        <v>69</v>
      </c>
    </row>
  </sheetData>
  <autoFilter ref="A1:O1"/>
  <pageMargins left="0.7" right="0.7" top="0.75" bottom="0.75" header="0.3" footer="0.3"/>
  <pageSetup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
  <sheetViews>
    <sheetView workbookViewId="0" rightToLeft="1">
      <pane ySplit="1" topLeftCell="A2"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9" customWidth="1"/>
    <col min="5" max="5" width="28" customWidth="1"/>
    <col min="6" max="6" width="37" customWidth="1"/>
    <col min="7" max="7" width="55" customWidth="1"/>
    <col min="8" max="8" width="19" style="7" customWidth="1"/>
    <col min="9" max="9" width="60" customWidth="1"/>
    <col min="10" max="10" width="42" customWidth="1"/>
    <col min="11" max="11" width="15" customWidth="1"/>
  </cols>
  <sheetData>
    <row r="1" ht="32" customHeight="1" spans="1:11" s="1" customFormat="1" x14ac:dyDescent="0.25">
      <c r="A1" s="2" t="s">
        <v>54</v>
      </c>
      <c r="B1" s="2" t="s">
        <v>97</v>
      </c>
      <c r="C1" s="2" t="s">
        <v>98</v>
      </c>
      <c r="D1" s="2" t="s">
        <v>99</v>
      </c>
      <c r="E1" s="2" t="s">
        <v>100</v>
      </c>
      <c r="F1" s="2" t="s">
        <v>101</v>
      </c>
      <c r="G1" s="2" t="s">
        <v>102</v>
      </c>
      <c r="H1" s="8" t="s">
        <v>103</v>
      </c>
      <c r="I1" s="2" t="s">
        <v>104</v>
      </c>
      <c r="J1" s="2" t="s">
        <v>105</v>
      </c>
      <c r="K1" s="2" t="s">
        <v>106</v>
      </c>
    </row>
  </sheetData>
  <autoFilter ref="A1:K1"/>
  <pageMargins left="0.7" right="0.7" top="0.75" bottom="0.75" header="0.3" footer="0.3"/>
  <pageSetup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pane ySplit="1" topLeftCell="A2" activePane="bottomLeft" state="frozen"/>
      <selection pane="bottomLeft"/>
    </sheetView>
  </sheetViews>
  <sheetFormatPr defaultRowHeight="15" outlineLevelRow="0" outlineLevelCol="0" x14ac:dyDescent="55"/>
  <cols>
    <col min="1" max="1" width="26" customWidth="1"/>
    <col min="2" max="2" width="28" customWidth="1"/>
    <col min="3" max="3" width="20" style="7" customWidth="1"/>
    <col min="4" max="4" width="27" style="7" customWidth="1"/>
    <col min="5" max="5" width="28" style="7" customWidth="1"/>
    <col min="6" max="6" width="70" customWidth="1"/>
    <col min="7" max="7" width="20" customWidth="1"/>
    <col min="8" max="8" width="44" customWidth="1"/>
  </cols>
  <sheetData>
    <row r="1" ht="32" customHeight="1" spans="1:8" s="1" customFormat="1" x14ac:dyDescent="0.25">
      <c r="A1" s="2" t="s">
        <v>54</v>
      </c>
      <c r="B1" s="2" t="s">
        <v>87</v>
      </c>
      <c r="C1" s="8" t="s">
        <v>58</v>
      </c>
      <c r="D1" s="8" t="s">
        <v>61</v>
      </c>
      <c r="E1" s="8" t="s">
        <v>107</v>
      </c>
      <c r="F1" s="2" t="s">
        <v>108</v>
      </c>
      <c r="G1" s="2" t="s">
        <v>109</v>
      </c>
      <c r="H1" s="2" t="s">
        <v>110</v>
      </c>
    </row>
    <row r="3" ht="32" customHeight="1" spans="4:5" x14ac:dyDescent="0.25">
      <c r="D3" s="14" t="s">
        <v>43</v>
      </c>
      <c r="E3" s="7">
        <f>0</f>
        <v>0</v>
      </c>
    </row>
    <row r="4" ht="32" customHeight="1" spans="4:5" x14ac:dyDescent="0.25">
      <c r="D4" s="14" t="s">
        <v>23</v>
      </c>
      <c r="E4" s="7"/>
    </row>
    <row r="5" ht="32" customHeight="1" spans="4:5" x14ac:dyDescent="0.25">
      <c r="D5" s="14" t="s">
        <v>44</v>
      </c>
      <c r="E5" s="7"/>
    </row>
    <row r="6" ht="32" customHeight="1" spans="4:5" x14ac:dyDescent="0.25">
      <c r="D6" s="14" t="s">
        <v>24</v>
      </c>
      <c r="E6" s="7"/>
    </row>
    <row r="7" ht="32" customHeight="1" spans="4:5" x14ac:dyDescent="0.25">
      <c r="D7" s="14" t="s">
        <v>45</v>
      </c>
      <c r="E7" s="7"/>
    </row>
    <row r="9" spans="1:8" x14ac:dyDescent="0.25">
      <c r="A9" s="15" t="s">
        <v>111</v>
      </c>
      <c r="B9" s="15"/>
      <c r="C9" s="15"/>
      <c r="D9" s="15"/>
      <c r="E9" s="15"/>
      <c r="F9" s="15"/>
      <c r="G9" s="15"/>
      <c r="H9" s="15"/>
    </row>
    <row r="10" spans="1:8" x14ac:dyDescent="0.25">
      <c r="A10" s="15"/>
      <c r="B10" s="15"/>
      <c r="C10" s="15"/>
      <c r="D10" s="15"/>
      <c r="E10" s="15"/>
      <c r="F10" s="15"/>
      <c r="G10" s="15"/>
      <c r="H10" s="15"/>
    </row>
  </sheetData>
  <autoFilter ref="A1:H1"/>
  <mergeCells count="1">
    <mergeCell ref="A9:H10"/>
  </mergeCells>
  <pageMargins left="0.7" right="0.7" top="0.75" bottom="0.75" header="0.3" footer="0.3"/>
  <pageSetup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9"/>
  <sheetViews>
    <sheetView workbookViewId="0" rightToLeft="1">
      <pane ySplit="1" topLeftCell="A2" activePane="bottomLeft" state="frozen"/>
      <selection pane="bottomLeft"/>
    </sheetView>
  </sheetViews>
  <sheetFormatPr defaultRowHeight="15" outlineLevelRow="0" outlineLevelCol="0" x14ac:dyDescent="55"/>
  <cols>
    <col min="1" max="1" width="35" customWidth="1"/>
    <col min="2" max="2" width="100" customWidth="1"/>
  </cols>
  <sheetData>
    <row r="1" ht="32" customHeight="1" spans="1:2" s="1" customFormat="1" x14ac:dyDescent="0.25">
      <c r="A1" s="2" t="s">
        <v>0</v>
      </c>
      <c r="B1" s="2" t="s">
        <v>1</v>
      </c>
    </row>
    <row r="2" ht="42" customHeight="1" spans="1:2" x14ac:dyDescent="0.25">
      <c r="A2" s="3" t="s">
        <v>112</v>
      </c>
      <c r="B2" s="3" t="s">
        <v>113</v>
      </c>
    </row>
    <row r="3" ht="42" customHeight="1" spans="1:2" x14ac:dyDescent="0.25">
      <c r="A3" s="3" t="s">
        <v>114</v>
      </c>
    </row>
    <row r="4" ht="42" customHeight="1" spans="1:2" x14ac:dyDescent="0.25">
      <c r="A4" s="3" t="s">
        <v>115</v>
      </c>
      <c r="B4" s="3" t="s">
        <v>116</v>
      </c>
    </row>
    <row r="5" ht="42" customHeight="1" spans="1:2" x14ac:dyDescent="0.25">
      <c r="A5" s="3" t="s">
        <v>117</v>
      </c>
      <c r="B5" s="3" t="s">
        <v>118</v>
      </c>
    </row>
    <row r="6" ht="42" customHeight="1" spans="1:2" x14ac:dyDescent="0.25">
      <c r="A6" s="3" t="s">
        <v>119</v>
      </c>
      <c r="B6" s="3" t="s">
        <v>120</v>
      </c>
    </row>
    <row r="7" ht="42" customHeight="1" spans="1:2" x14ac:dyDescent="0.25">
      <c r="A7" s="3" t="s">
        <v>121</v>
      </c>
      <c r="B7" s="3" t="s">
        <v>122</v>
      </c>
    </row>
    <row r="8" ht="42" customHeight="1" spans="1:2" x14ac:dyDescent="0.25">
      <c r="A8" s="3" t="s">
        <v>2</v>
      </c>
      <c r="B8" s="3" t="s">
        <v>123</v>
      </c>
    </row>
    <row r="9" ht="42" customHeight="1" spans="1:2" x14ac:dyDescent="0.25">
      <c r="A9" s="3" t="s">
        <v>124</v>
      </c>
      <c r="B9" s="16" t="s">
        <v>125</v>
      </c>
    </row>
  </sheetData>
  <autoFilter ref="A1:B9"/>
  <hyperlinks>
    <hyperlink ref="B9" r:id="rId1" location="#'Review History'!A1"/>
  </hyperlinks>
  <pageMargins left="0.7" right="0.7" top="0.75" bottom="0.75" header="0.3" footer="0.3"/>
  <pageSetup orientation="portrait"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6"/>
  <sheetViews>
    <sheetView workbookViewId="0" rightToLeft="1">
      <pane ySplit="1" topLeftCell="A2" activePane="bottomLeft" state="frozen"/>
      <selection pane="bottomLeft"/>
    </sheetView>
  </sheetViews>
  <sheetFormatPr defaultRowHeight="15" outlineLevelRow="0" outlineLevelCol="0" x14ac:dyDescent="55"/>
  <cols>
    <col min="1" max="1" width="29" customWidth="1"/>
    <col min="2" max="3" width="45" customWidth="1"/>
  </cols>
  <sheetData>
    <row r="1" ht="28" customHeight="1" spans="1:3" s="17" customFormat="1" x14ac:dyDescent="0.25">
      <c r="A1" s="17" t="s">
        <v>126</v>
      </c>
      <c r="B1" s="17" t="s">
        <v>127</v>
      </c>
      <c r="C1" s="17" t="s">
        <v>128</v>
      </c>
    </row>
    <row r="2" spans="1:3" s="3" customFormat="1" x14ac:dyDescent="0.25">
      <c r="A2" s="3" t="s">
        <v>28</v>
      </c>
      <c r="B2" s="3" t="s">
        <v>129</v>
      </c>
      <c r="C2" s="3" t="s">
        <v>130</v>
      </c>
    </row>
    <row r="3" spans="1:3" s="3" customFormat="1" x14ac:dyDescent="0.25">
      <c r="A3" s="3" t="s">
        <v>34</v>
      </c>
      <c r="B3" s="3" t="s">
        <v>131</v>
      </c>
      <c r="C3" s="3" t="s">
        <v>130</v>
      </c>
    </row>
    <row r="4" spans="1:3" s="3" customFormat="1" x14ac:dyDescent="0.25">
      <c r="A4" s="3" t="s">
        <v>28</v>
      </c>
      <c r="B4" s="3" t="s">
        <v>132</v>
      </c>
      <c r="C4" s="3" t="s">
        <v>130</v>
      </c>
    </row>
    <row r="5" spans="1:3" s="3" customFormat="1" x14ac:dyDescent="0.25">
      <c r="A5" s="3" t="s">
        <v>34</v>
      </c>
      <c r="B5" s="3" t="s">
        <v>133</v>
      </c>
      <c r="C5" s="3" t="s">
        <v>130</v>
      </c>
    </row>
    <row r="6" spans="1:3" s="3" customFormat="1" x14ac:dyDescent="0.25">
      <c r="A6" s="3" t="s">
        <v>134</v>
      </c>
      <c r="B6" s="3" t="s">
        <v>80</v>
      </c>
      <c r="C6" s="3" t="s">
        <v>135</v>
      </c>
    </row>
  </sheetData>
  <autoFilter ref="A1:C6"/>
  <pageMargins left="0.7" right="0.7" top="0.75" bottom="0.75" header="0.3" footer="0.3"/>
  <pageSetup orientation="landscape"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
  <sheetViews>
    <sheetView workbookViewId="0" rightToLeft="1">
      <pane ySplit="1" topLeftCell="A2" activePane="bottomLeft" state="frozen"/>
      <selection pane="bottomLeft"/>
    </sheetView>
  </sheetViews>
  <sheetFormatPr defaultRowHeight="15" outlineLevelRow="0" outlineLevelCol="0" x14ac:dyDescent="55"/>
  <cols>
    <col min="1" max="1" width="16" customWidth="1"/>
    <col min="2" max="2" width="20" customWidth="1"/>
    <col min="3" max="3" width="16" customWidth="1"/>
    <col min="4" max="4" width="42" customWidth="1"/>
    <col min="5" max="5" width="45" customWidth="1"/>
    <col min="6" max="6" width="16" customWidth="1"/>
    <col min="7" max="7" width="17" customWidth="1"/>
    <col min="8" max="10" width="16" customWidth="1"/>
    <col min="11" max="11" width="45" customWidth="1"/>
    <col min="12" max="12" width="21" customWidth="1"/>
    <col min="13" max="13" width="22" customWidth="1"/>
    <col min="14" max="14" width="21" customWidth="1"/>
    <col min="15" max="15" width="16" customWidth="1"/>
    <col min="16" max="16" width="18" customWidth="1"/>
    <col min="17" max="17" width="21" customWidth="1"/>
    <col min="18" max="18" width="16" customWidth="1"/>
    <col min="19" max="19" width="16" style="7" customWidth="1"/>
    <col min="20" max="20" width="17" customWidth="1"/>
    <col min="21" max="21" width="21" customWidth="1"/>
    <col min="22" max="22" width="19" customWidth="1"/>
    <col min="23" max="23" width="21" customWidth="1"/>
  </cols>
  <sheetData>
    <row r="1" ht="28" customHeight="1" spans="1:23" s="17" customFormat="1" x14ac:dyDescent="0.25">
      <c r="A1" s="17" t="s">
        <v>54</v>
      </c>
      <c r="B1" s="17" t="s">
        <v>87</v>
      </c>
      <c r="C1" s="17" t="s">
        <v>66</v>
      </c>
      <c r="D1" s="17" t="s">
        <v>64</v>
      </c>
      <c r="E1" s="17" t="s">
        <v>65</v>
      </c>
      <c r="F1" s="17" t="s">
        <v>97</v>
      </c>
      <c r="G1" s="17" t="s">
        <v>136</v>
      </c>
      <c r="H1" s="17" t="s">
        <v>137</v>
      </c>
      <c r="I1" s="17" t="s">
        <v>138</v>
      </c>
      <c r="J1" s="17" t="s">
        <v>139</v>
      </c>
      <c r="K1" s="17" t="s">
        <v>98</v>
      </c>
      <c r="L1" s="17" t="s">
        <v>140</v>
      </c>
      <c r="M1" s="17" t="s">
        <v>141</v>
      </c>
      <c r="N1" s="17" t="s">
        <v>142</v>
      </c>
      <c r="O1" s="17" t="s">
        <v>143</v>
      </c>
      <c r="P1" s="17" t="s">
        <v>144</v>
      </c>
      <c r="Q1" s="17" t="s">
        <v>145</v>
      </c>
      <c r="R1" s="17" t="s">
        <v>6</v>
      </c>
      <c r="S1" s="18" t="s">
        <v>103</v>
      </c>
      <c r="T1" s="17" t="s">
        <v>105</v>
      </c>
      <c r="U1" s="17" t="s">
        <v>146</v>
      </c>
      <c r="V1" s="17" t="s">
        <v>147</v>
      </c>
      <c r="W1" s="17" t="s">
        <v>148</v>
      </c>
    </row>
    <row r="2" spans="1:23" s="3" customFormat="1" x14ac:dyDescent="0.25">
      <c r="A2" s="3" t="s">
        <v>75</v>
      </c>
      <c r="B2" s="3" t="s">
        <v>134</v>
      </c>
      <c r="C2" s="3" t="s">
        <v>81</v>
      </c>
      <c r="D2" s="3" t="s">
        <v>79</v>
      </c>
      <c r="E2" s="3" t="s">
        <v>80</v>
      </c>
      <c r="F2" s="3" t="s">
        <v>149</v>
      </c>
      <c r="G2" s="3" t="s">
        <v>150</v>
      </c>
      <c r="H2" s="3" t="s">
        <v>14</v>
      </c>
      <c r="I2" s="3">
        <v>2</v>
      </c>
      <c r="J2" s="3" t="s">
        <v>130</v>
      </c>
      <c r="K2" s="4">
        <v>46218</v>
      </c>
      <c r="L2" s="3" t="s">
        <v>77</v>
      </c>
      <c r="M2" s="3" t="s">
        <v>151</v>
      </c>
      <c r="N2" s="3" t="s">
        <v>152</v>
      </c>
      <c r="O2" s="3" t="s">
        <v>130</v>
      </c>
      <c r="P2" s="3" t="s">
        <v>77</v>
      </c>
      <c r="Q2" s="3" t="s">
        <v>151</v>
      </c>
      <c r="R2" s="3" t="s">
        <v>7</v>
      </c>
      <c r="S2" s="19">
        <v>-40</v>
      </c>
      <c r="T2" s="3" t="s">
        <v>83</v>
      </c>
      <c r="U2" s="3" t="s">
        <v>130</v>
      </c>
      <c r="V2" s="3" t="s">
        <v>130</v>
      </c>
      <c r="W2" s="3" t="s">
        <v>130</v>
      </c>
    </row>
    <row r="3" spans="1:23" s="3" customFormat="1" x14ac:dyDescent="0.25">
      <c r="A3" s="3" t="s">
        <v>75</v>
      </c>
      <c r="B3" s="3" t="s">
        <v>134</v>
      </c>
      <c r="C3" s="3" t="s">
        <v>81</v>
      </c>
      <c r="D3" s="3" t="s">
        <v>79</v>
      </c>
      <c r="E3" s="3" t="s">
        <v>80</v>
      </c>
      <c r="F3" s="3" t="s">
        <v>149</v>
      </c>
      <c r="G3" s="3" t="s">
        <v>153</v>
      </c>
      <c r="H3" s="3" t="s">
        <v>14</v>
      </c>
      <c r="I3" s="3">
        <v>3</v>
      </c>
      <c r="J3" s="3" t="s">
        <v>130</v>
      </c>
      <c r="K3" s="4">
        <v>46218</v>
      </c>
      <c r="L3" s="3" t="s">
        <v>77</v>
      </c>
      <c r="M3" s="3" t="s">
        <v>154</v>
      </c>
      <c r="N3" s="3" t="s">
        <v>155</v>
      </c>
      <c r="O3" s="3" t="s">
        <v>130</v>
      </c>
      <c r="P3" s="3" t="s">
        <v>77</v>
      </c>
      <c r="Q3" s="3" t="s">
        <v>154</v>
      </c>
      <c r="R3" s="3" t="s">
        <v>7</v>
      </c>
      <c r="S3" s="19">
        <v>-60</v>
      </c>
      <c r="T3" s="3" t="s">
        <v>84</v>
      </c>
      <c r="U3" s="3" t="s">
        <v>130</v>
      </c>
      <c r="V3" s="3" t="s">
        <v>130</v>
      </c>
      <c r="W3" s="3" t="s">
        <v>130</v>
      </c>
    </row>
    <row r="4" spans="1:23" s="3" customFormat="1" x14ac:dyDescent="0.25">
      <c r="A4" s="3" t="s">
        <v>75</v>
      </c>
      <c r="B4" s="3" t="s">
        <v>134</v>
      </c>
      <c r="C4" s="3" t="s">
        <v>81</v>
      </c>
      <c r="D4" s="3" t="s">
        <v>79</v>
      </c>
      <c r="E4" s="3" t="s">
        <v>80</v>
      </c>
      <c r="F4" s="3" t="s">
        <v>156</v>
      </c>
      <c r="G4" s="3" t="s">
        <v>157</v>
      </c>
      <c r="H4" s="3" t="s">
        <v>14</v>
      </c>
      <c r="I4" s="3">
        <v>2</v>
      </c>
      <c r="J4" s="3" t="s">
        <v>130</v>
      </c>
      <c r="K4" s="4">
        <v>46218</v>
      </c>
      <c r="L4" s="3" t="s">
        <v>77</v>
      </c>
      <c r="M4" s="3" t="s">
        <v>158</v>
      </c>
      <c r="N4" s="3" t="s">
        <v>159</v>
      </c>
      <c r="O4" s="3" t="s">
        <v>130</v>
      </c>
      <c r="P4" s="3" t="s">
        <v>77</v>
      </c>
      <c r="Q4" s="3" t="s">
        <v>158</v>
      </c>
      <c r="R4" s="3" t="s">
        <v>7</v>
      </c>
      <c r="S4" s="19">
        <v>-25</v>
      </c>
      <c r="T4" s="3" t="s">
        <v>85</v>
      </c>
      <c r="U4" s="3" t="s">
        <v>130</v>
      </c>
      <c r="V4" s="3" t="s">
        <v>130</v>
      </c>
      <c r="W4" s="3" t="s">
        <v>130</v>
      </c>
    </row>
    <row r="5" spans="1:23" s="3" customFormat="1" x14ac:dyDescent="0.25">
      <c r="A5" s="3" t="s">
        <v>75</v>
      </c>
      <c r="B5" s="3" t="s">
        <v>134</v>
      </c>
      <c r="C5" s="3" t="s">
        <v>81</v>
      </c>
      <c r="D5" s="3" t="s">
        <v>79</v>
      </c>
      <c r="E5" s="3" t="s">
        <v>80</v>
      </c>
      <c r="F5" s="3" t="s">
        <v>156</v>
      </c>
      <c r="G5" s="3" t="s">
        <v>160</v>
      </c>
      <c r="H5" s="3" t="s">
        <v>14</v>
      </c>
      <c r="I5" s="3">
        <v>3</v>
      </c>
      <c r="J5" s="3" t="s">
        <v>130</v>
      </c>
      <c r="K5" s="4">
        <v>46218</v>
      </c>
      <c r="L5" s="3" t="s">
        <v>77</v>
      </c>
      <c r="M5" s="3" t="s">
        <v>161</v>
      </c>
      <c r="N5" s="3" t="s">
        <v>162</v>
      </c>
      <c r="O5" s="3" t="s">
        <v>130</v>
      </c>
      <c r="P5" s="3" t="s">
        <v>77</v>
      </c>
      <c r="Q5" s="3" t="s">
        <v>161</v>
      </c>
      <c r="R5" s="3" t="s">
        <v>7</v>
      </c>
      <c r="S5" s="19">
        <v>-75</v>
      </c>
      <c r="T5" s="3" t="s">
        <v>86</v>
      </c>
      <c r="U5" s="3" t="s">
        <v>130</v>
      </c>
      <c r="V5" s="3" t="s">
        <v>130</v>
      </c>
      <c r="W5" s="3" t="s">
        <v>130</v>
      </c>
    </row>
  </sheetData>
  <autoFilter ref="A1:W5"/>
  <hyperlinks>
    <hyperlink ref="T2" r:id="rId1" location="#'Parsed Supplier Source'!A3"/>
    <hyperlink ref="T3" r:id="rId2" location="#'Parsed Supplier Source'!A4"/>
    <hyperlink ref="T4" r:id="rId3" location="#'Parsed Ledger Source'!A3"/>
    <hyperlink ref="T5" r:id="rId4" location="#'Parsed Ledger Source'!A4"/>
  </hyperlinks>
  <pageMargins left="0.7" right="0.7" top="0.75" bottom="0.75" header="0.3" footer="0.3"/>
  <pageSetup orientation="landscape"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
  <sheetViews>
    <sheetView workbookViewId="0" rightToLeft="1">
      <pane ySplit="1" topLeftCell="A2" activePane="bottomLeft" state="frozen"/>
      <selection pane="bottomLeft"/>
    </sheetView>
  </sheetViews>
  <sheetFormatPr defaultRowHeight="15" outlineLevelRow="0" outlineLevelCol="0" x14ac:dyDescent="55"/>
  <cols>
    <col min="1" max="1" width="45" customWidth="1"/>
    <col min="2" max="2" width="16" customWidth="1"/>
    <col min="3" max="3" width="18" customWidth="1"/>
    <col min="4" max="4" width="45" customWidth="1"/>
  </cols>
  <sheetData>
    <row r="1" ht="28" customHeight="1" spans="1:4" s="17" customFormat="1" x14ac:dyDescent="0.25">
      <c r="A1" s="17" t="s">
        <v>163</v>
      </c>
      <c r="B1" s="17" t="s">
        <v>164</v>
      </c>
      <c r="C1" s="17" t="s">
        <v>165</v>
      </c>
      <c r="D1" s="17" t="s">
        <v>96</v>
      </c>
    </row>
    <row r="2" spans="1:4" s="3" customFormat="1" x14ac:dyDescent="0.25">
      <c r="A2" s="4">
        <v>46294.42449846065</v>
      </c>
      <c r="B2" s="3" t="s">
        <v>166</v>
      </c>
      <c r="C2" s="3" t="s">
        <v>130</v>
      </c>
      <c r="D2" s="3" t="s">
        <v>167</v>
      </c>
    </row>
  </sheetData>
  <autoFilter ref="A1:D2"/>
  <pageMargins left="0.7" right="0.7" top="0.75" bottom="0.75" header="0.3" footer="0.3"/>
  <pageSetup orientation="landscape"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5"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150</v>
      </c>
      <c r="B2" s="3" t="s">
        <v>14</v>
      </c>
      <c r="C2" s="3">
        <v>2</v>
      </c>
      <c r="D2" s="4">
        <v>46218</v>
      </c>
      <c r="E2" s="3" t="s">
        <v>77</v>
      </c>
      <c r="F2" s="3" t="s">
        <v>178</v>
      </c>
      <c r="G2" s="3" t="s">
        <v>179</v>
      </c>
      <c r="H2" s="19">
        <v>-40</v>
      </c>
      <c r="I2" s="3" t="s">
        <v>180</v>
      </c>
      <c r="J2" s="3" t="s">
        <v>130</v>
      </c>
    </row>
    <row r="3" spans="1:10" s="3" customFormat="1" x14ac:dyDescent="0.25">
      <c r="A3" s="3" t="s">
        <v>153</v>
      </c>
      <c r="B3" s="3" t="s">
        <v>14</v>
      </c>
      <c r="C3" s="3">
        <v>3</v>
      </c>
      <c r="D3" s="4">
        <v>46218</v>
      </c>
      <c r="E3" s="3" t="s">
        <v>77</v>
      </c>
      <c r="F3" s="3" t="s">
        <v>178</v>
      </c>
      <c r="G3" s="3" t="s">
        <v>181</v>
      </c>
      <c r="H3" s="19">
        <v>-60</v>
      </c>
      <c r="I3" s="3" t="s">
        <v>182</v>
      </c>
      <c r="J3" s="3" t="s">
        <v>130</v>
      </c>
    </row>
  </sheetData>
  <autoFilter ref="A1:J3"/>
  <pageMargins left="0.7" right="0.7" top="0.75" bottom="0.75" header="0.3" footer="0.3"/>
  <pageSetup orientation="landscape"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45" customWidth="1"/>
    <col min="5" max="6" width="17" customWidth="1"/>
    <col min="7" max="7" width="23" customWidth="1"/>
    <col min="8" max="8" width="17" style="7" customWidth="1"/>
    <col min="9" max="9" width="17" customWidth="1"/>
    <col min="10" max="10" width="20" customWidth="1"/>
  </cols>
  <sheetData>
    <row r="1" ht="28" customHeight="1" spans="1:10" s="17" customFormat="1" x14ac:dyDescent="0.25">
      <c r="A1" s="17" t="s">
        <v>168</v>
      </c>
      <c r="B1" s="17" t="s">
        <v>169</v>
      </c>
      <c r="C1" s="17" t="s">
        <v>170</v>
      </c>
      <c r="D1" s="17" t="s">
        <v>171</v>
      </c>
      <c r="E1" s="17" t="s">
        <v>172</v>
      </c>
      <c r="F1" s="17" t="s">
        <v>173</v>
      </c>
      <c r="G1" s="17" t="s">
        <v>174</v>
      </c>
      <c r="H1" s="18" t="s">
        <v>175</v>
      </c>
      <c r="I1" s="17" t="s">
        <v>176</v>
      </c>
      <c r="J1" s="17" t="s">
        <v>177</v>
      </c>
    </row>
    <row r="2" spans="1:10" s="3" customFormat="1" x14ac:dyDescent="0.25">
      <c r="A2" s="3" t="s">
        <v>157</v>
      </c>
      <c r="B2" s="3" t="s">
        <v>14</v>
      </c>
      <c r="C2" s="3">
        <v>2</v>
      </c>
      <c r="D2" s="4">
        <v>46218</v>
      </c>
      <c r="E2" s="3" t="s">
        <v>77</v>
      </c>
      <c r="F2" s="3" t="s">
        <v>178</v>
      </c>
      <c r="G2" s="3" t="s">
        <v>183</v>
      </c>
      <c r="H2" s="19">
        <v>-25</v>
      </c>
      <c r="I2" s="3" t="s">
        <v>184</v>
      </c>
      <c r="J2" s="3" t="s">
        <v>130</v>
      </c>
    </row>
    <row r="3" spans="1:10" s="3" customFormat="1" x14ac:dyDescent="0.25">
      <c r="A3" s="3" t="s">
        <v>160</v>
      </c>
      <c r="B3" s="3" t="s">
        <v>14</v>
      </c>
      <c r="C3" s="3">
        <v>3</v>
      </c>
      <c r="D3" s="4">
        <v>46218</v>
      </c>
      <c r="E3" s="3" t="s">
        <v>77</v>
      </c>
      <c r="F3" s="3" t="s">
        <v>178</v>
      </c>
      <c r="G3" s="3" t="s">
        <v>185</v>
      </c>
      <c r="H3" s="19">
        <v>-75</v>
      </c>
      <c r="I3" s="3" t="s">
        <v>186</v>
      </c>
      <c r="J3" s="3" t="s">
        <v>130</v>
      </c>
    </row>
  </sheetData>
  <autoFilter ref="A1:J3"/>
  <pageMargins left="0.7" right="0.7" top="0.75" bottom="0.75" header="0.3" footer="0.3"/>
  <pageSetup orientation="landscape"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
  <sheetViews>
    <sheetView workbookViewId="0" rightToLeft="1">
      <pane ySplit="1" topLeftCell="A2" activePane="bottomLeft" state="frozen"/>
      <selection pane="bottomLeft"/>
    </sheetView>
  </sheetViews>
  <sheetFormatPr defaultRowHeight="15" outlineLevelRow="0" outlineLevelCol="0" x14ac:dyDescent="55"/>
  <cols>
    <col min="1" max="2" width="16" customWidth="1"/>
    <col min="3" max="3" width="20" customWidth="1"/>
    <col min="4" max="4" width="45" customWidth="1"/>
  </cols>
  <sheetData>
    <row r="1" ht="28" customHeight="1" spans="1:4" s="17" customFormat="1" x14ac:dyDescent="0.25">
      <c r="A1" s="17" t="s">
        <v>187</v>
      </c>
      <c r="B1" s="17" t="s">
        <v>170</v>
      </c>
      <c r="C1" s="17" t="s">
        <v>188</v>
      </c>
      <c r="D1" s="17" t="s">
        <v>189</v>
      </c>
    </row>
    <row r="2" spans="1:4" s="3" customFormat="1" x14ac:dyDescent="0.25">
      <c r="A2" s="3" t="s">
        <v>190</v>
      </c>
      <c r="B2" s="3">
        <v>1</v>
      </c>
      <c r="C2" s="3" t="s">
        <v>191</v>
      </c>
      <c r="D2" s="3" t="s">
        <v>192</v>
      </c>
    </row>
    <row r="3" spans="1:4" s="3" customFormat="1" x14ac:dyDescent="0.25">
      <c r="A3" s="3" t="s">
        <v>193</v>
      </c>
      <c r="B3" s="3">
        <v>1</v>
      </c>
      <c r="C3" s="3" t="s">
        <v>191</v>
      </c>
      <c r="D3" s="3" t="s">
        <v>192</v>
      </c>
    </row>
  </sheetData>
  <autoFilter ref="A1:D3"/>
  <pageMargins left="0.7" right="0.7" top="0.75" bottom="0.75" header="0.3" footer="0.3"/>
  <pageSetup orientation="landscape"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6"/>
  <sheetViews>
    <sheetView workbookViewId="0" rightToLeft="1">
      <pane ySplit="1" topLeftCell="A2" activePane="bottomLeft" state="frozen"/>
      <selection pane="bottomLeft"/>
    </sheetView>
  </sheetViews>
  <sheetFormatPr defaultRowHeight="15" outlineLevelRow="0" outlineLevelCol="0" x14ac:dyDescent="55"/>
  <cols>
    <col min="1" max="1" width="33" customWidth="1"/>
    <col min="2" max="2" width="45" customWidth="1"/>
  </cols>
  <sheetData>
    <row r="1" ht="28" customHeight="1" spans="1:2" s="17" customFormat="1" x14ac:dyDescent="0.25">
      <c r="A1" s="17" t="s">
        <v>194</v>
      </c>
      <c r="B1" s="17" t="s">
        <v>195</v>
      </c>
    </row>
    <row r="2" spans="1:2" s="3" customFormat="1" x14ac:dyDescent="0.25">
      <c r="A2" s="3" t="s">
        <v>196</v>
      </c>
      <c r="B2" s="3" t="s">
        <v>197</v>
      </c>
    </row>
    <row r="3" spans="1:2" s="3" customFormat="1" x14ac:dyDescent="0.25">
      <c r="A3" s="3" t="s">
        <v>198</v>
      </c>
      <c r="B3" s="3" t="s">
        <v>199</v>
      </c>
    </row>
    <row r="4" spans="1:2" s="3" customFormat="1" x14ac:dyDescent="0.25">
      <c r="A4" s="3" t="s">
        <v>200</v>
      </c>
      <c r="B4" s="3" t="s">
        <v>199</v>
      </c>
    </row>
    <row r="5" spans="1:2" s="3" customFormat="1" x14ac:dyDescent="0.25">
      <c r="A5" s="3" t="s">
        <v>201</v>
      </c>
      <c r="B5" s="3" t="s">
        <v>202</v>
      </c>
    </row>
    <row r="6" spans="1:2" s="3" customFormat="1" x14ac:dyDescent="0.25">
      <c r="A6" s="3" t="s">
        <v>203</v>
      </c>
      <c r="B6" s="3" t="s">
        <v>202</v>
      </c>
    </row>
    <row r="7" spans="1:2" s="3" customFormat="1" x14ac:dyDescent="0.25">
      <c r="A7" s="3" t="s">
        <v>204</v>
      </c>
      <c r="B7" s="3" t="s">
        <v>205</v>
      </c>
    </row>
    <row r="8" spans="1:2" s="3" customFormat="1" x14ac:dyDescent="0.25">
      <c r="A8" s="3" t="s">
        <v>206</v>
      </c>
      <c r="B8" s="3" t="s">
        <v>205</v>
      </c>
    </row>
    <row r="9" spans="1:2" s="3" customFormat="1" x14ac:dyDescent="0.25">
      <c r="A9" s="3" t="s">
        <v>207</v>
      </c>
      <c r="B9" s="3" t="s">
        <v>208</v>
      </c>
    </row>
    <row r="10" spans="1:2" s="3" customFormat="1" x14ac:dyDescent="0.25">
      <c r="A10" s="3" t="s">
        <v>209</v>
      </c>
      <c r="B10" s="3" t="s">
        <v>208</v>
      </c>
    </row>
    <row r="11" spans="1:2" s="3" customFormat="1" x14ac:dyDescent="0.25">
      <c r="A11" s="3" t="s">
        <v>210</v>
      </c>
      <c r="B11" s="3" t="s">
        <v>211</v>
      </c>
    </row>
    <row r="12" spans="1:2" s="3" customFormat="1" x14ac:dyDescent="0.25">
      <c r="A12" s="3" t="s">
        <v>212</v>
      </c>
      <c r="B12" s="3" t="s">
        <v>213</v>
      </c>
    </row>
    <row r="13" spans="1:2" s="3" customFormat="1" x14ac:dyDescent="0.25">
      <c r="A13" s="3" t="s">
        <v>214</v>
      </c>
      <c r="B13" s="3" t="s">
        <v>215</v>
      </c>
    </row>
    <row r="14" spans="1:2" s="3" customFormat="1" x14ac:dyDescent="0.25">
      <c r="A14" s="3" t="s">
        <v>216</v>
      </c>
      <c r="B14" s="3" t="s">
        <v>130</v>
      </c>
    </row>
    <row r="15" spans="1:2" s="3" customFormat="1" x14ac:dyDescent="0.25">
      <c r="A15" s="3" t="s">
        <v>217</v>
      </c>
      <c r="B15" s="3" t="s">
        <v>130</v>
      </c>
    </row>
    <row r="16" spans="1:2" s="3" customFormat="1" x14ac:dyDescent="0.25">
      <c r="A16" s="3" t="s">
        <v>218</v>
      </c>
      <c r="B16" s="3" t="s">
        <v>219</v>
      </c>
    </row>
  </sheetData>
  <autoFilter ref="A1:B16"/>
  <pageMargins left="0.7" right="0.7" top="0.75" bottom="0.75" header="0.3" footer="0.3"/>
  <pageSetup orientation="landscape"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5"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151</v>
      </c>
      <c r="D3" s="3" t="s">
        <v>130</v>
      </c>
      <c r="E3" s="3" t="s">
        <v>180</v>
      </c>
      <c r="F3" s="3" t="s">
        <v>237</v>
      </c>
      <c r="G3" s="3" t="s">
        <v>77</v>
      </c>
      <c r="H3" s="3" t="s">
        <v>130</v>
      </c>
      <c r="I3" s="3" t="s">
        <v>152</v>
      </c>
      <c r="J3" s="3" t="s">
        <v>179</v>
      </c>
      <c r="K3" s="3" t="s">
        <v>7</v>
      </c>
      <c r="L3" s="3" t="s">
        <v>130</v>
      </c>
    </row>
    <row r="4" spans="1:12" s="3" customFormat="1" x14ac:dyDescent="0.25">
      <c r="A4" s="3">
        <v>3</v>
      </c>
      <c r="B4" s="3" t="s">
        <v>236</v>
      </c>
      <c r="C4" s="3" t="s">
        <v>154</v>
      </c>
      <c r="D4" s="3" t="s">
        <v>130</v>
      </c>
      <c r="E4" s="3" t="s">
        <v>182</v>
      </c>
      <c r="F4" s="3" t="s">
        <v>237</v>
      </c>
      <c r="G4" s="3" t="s">
        <v>77</v>
      </c>
      <c r="H4" s="3" t="s">
        <v>130</v>
      </c>
      <c r="I4" s="3" t="s">
        <v>155</v>
      </c>
      <c r="J4" s="3" t="s">
        <v>181</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
  <sheetViews>
    <sheetView workbookViewId="0" rightToLeft="1">
      <pane ySplit="1" topLeftCell="A2" activePane="bottomLeft" state="frozen"/>
      <selection pane="bottomLeft"/>
    </sheetView>
  </sheetViews>
  <sheetFormatPr defaultRowHeight="15" outlineLevelRow="0" outlineLevelCol="0" x14ac:dyDescent="55"/>
  <cols>
    <col min="1" max="8" width="16" customWidth="1"/>
    <col min="9" max="9" width="19" customWidth="1"/>
    <col min="10" max="10" width="23" customWidth="1"/>
    <col min="11" max="12" width="16" customWidth="1"/>
  </cols>
  <sheetData>
    <row r="1" ht="28" customHeight="1" spans="1:12" s="17" customFormat="1" x14ac:dyDescent="0.25">
      <c r="A1" s="17" t="s">
        <v>170</v>
      </c>
      <c r="B1" s="17" t="s">
        <v>220</v>
      </c>
      <c r="C1" s="17" t="s">
        <v>221</v>
      </c>
      <c r="D1" s="17" t="s">
        <v>222</v>
      </c>
      <c r="E1" s="17" t="s">
        <v>223</v>
      </c>
      <c r="F1" s="17" t="s">
        <v>224</v>
      </c>
      <c r="G1" s="17" t="s">
        <v>225</v>
      </c>
      <c r="H1" s="17" t="s">
        <v>226</v>
      </c>
      <c r="I1" s="17" t="s">
        <v>227</v>
      </c>
      <c r="J1" s="17" t="s">
        <v>228</v>
      </c>
      <c r="K1" s="17" t="s">
        <v>229</v>
      </c>
      <c r="L1" s="17" t="s">
        <v>230</v>
      </c>
    </row>
    <row r="2" spans="1:12" s="3" customFormat="1" x14ac:dyDescent="0.25">
      <c r="A2" s="3">
        <v>1</v>
      </c>
      <c r="B2" s="3" t="s">
        <v>98</v>
      </c>
      <c r="C2" s="3" t="s">
        <v>231</v>
      </c>
      <c r="D2" s="3" t="s">
        <v>100</v>
      </c>
      <c r="E2" s="3" t="s">
        <v>103</v>
      </c>
      <c r="F2" s="3" t="s">
        <v>232</v>
      </c>
      <c r="G2" s="3" t="s">
        <v>144</v>
      </c>
      <c r="H2" s="3" t="s">
        <v>233</v>
      </c>
      <c r="I2" s="3" t="s">
        <v>234</v>
      </c>
      <c r="J2" s="3" t="s">
        <v>102</v>
      </c>
      <c r="K2" s="3" t="s">
        <v>6</v>
      </c>
      <c r="L2" s="3" t="s">
        <v>235</v>
      </c>
    </row>
    <row r="3" spans="1:12" s="3" customFormat="1" x14ac:dyDescent="0.25">
      <c r="A3" s="3">
        <v>2</v>
      </c>
      <c r="B3" s="3" t="s">
        <v>236</v>
      </c>
      <c r="C3" s="3" t="s">
        <v>158</v>
      </c>
      <c r="D3" s="3" t="s">
        <v>130</v>
      </c>
      <c r="E3" s="3" t="s">
        <v>184</v>
      </c>
      <c r="F3" s="3" t="s">
        <v>237</v>
      </c>
      <c r="G3" s="3" t="s">
        <v>77</v>
      </c>
      <c r="H3" s="3" t="s">
        <v>130</v>
      </c>
      <c r="I3" s="3" t="s">
        <v>159</v>
      </c>
      <c r="J3" s="3" t="s">
        <v>183</v>
      </c>
      <c r="K3" s="3" t="s">
        <v>7</v>
      </c>
      <c r="L3" s="3" t="s">
        <v>130</v>
      </c>
    </row>
    <row r="4" spans="1:12" s="3" customFormat="1" x14ac:dyDescent="0.25">
      <c r="A4" s="3">
        <v>3</v>
      </c>
      <c r="B4" s="3" t="s">
        <v>236</v>
      </c>
      <c r="C4" s="3" t="s">
        <v>161</v>
      </c>
      <c r="D4" s="3" t="s">
        <v>130</v>
      </c>
      <c r="E4" s="3" t="s">
        <v>186</v>
      </c>
      <c r="F4" s="3" t="s">
        <v>237</v>
      </c>
      <c r="G4" s="3" t="s">
        <v>77</v>
      </c>
      <c r="H4" s="3" t="s">
        <v>130</v>
      </c>
      <c r="I4" s="3" t="s">
        <v>162</v>
      </c>
      <c r="J4" s="3" t="s">
        <v>185</v>
      </c>
      <c r="K4" s="3" t="s">
        <v>7</v>
      </c>
      <c r="L4" s="3" t="s">
        <v>130</v>
      </c>
    </row>
  </sheetData>
  <autoFilter ref="A1:L4"/>
  <pageMargins left="0.7" right="0.7" top="0.75" bottom="0.75" header="0.3" footer="0.3"/>
  <pageSetup orientation="landscape"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
  <sheetViews>
    <sheetView workbookViewId="0" rightToLeft="1">
      <pane ySplit="1" topLeftCell="A2" activePane="bottomLeft" state="frozen"/>
      <selection pane="bottomLeft"/>
    </sheetView>
  </sheetViews>
  <sheetFormatPr defaultRowHeight="15" outlineLevelRow="0" outlineLevelCol="0" x14ac:dyDescent="55"/>
  <cols>
    <col min="1" max="3" width="16" customWidth="1"/>
    <col min="4" max="4" width="20" customWidth="1"/>
  </cols>
  <sheetData>
    <row r="1" ht="28" customHeight="1" spans="1:4" s="17" customFormat="1" x14ac:dyDescent="0.25">
      <c r="A1" s="17" t="s">
        <v>187</v>
      </c>
      <c r="B1" s="17" t="s">
        <v>238</v>
      </c>
      <c r="C1" s="17" t="s">
        <v>239</v>
      </c>
      <c r="D1" s="17" t="s">
        <v>240</v>
      </c>
    </row>
  </sheetData>
  <autoFilter ref="A1:D1"/>
  <pageMargins left="0.7" right="0.7" top="0.75" bottom="0.75" header="0.3" footer="0.3"/>
  <pageSetup orientation="landscape"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
  <sheetViews>
    <sheetView workbookViewId="0" rightToLeft="1">
      <pane ySplit="1" topLeftCell="A2" activePane="bottomLeft" state="frozen"/>
      <selection pane="bottomLeft"/>
    </sheetView>
  </sheetViews>
  <sheetFormatPr defaultRowHeight="15" outlineLevelRow="0" outlineLevelCol="0" x14ac:dyDescent="55"/>
  <cols>
    <col min="1" max="1" width="23" customWidth="1"/>
    <col min="2" max="2" width="45" customWidth="1"/>
  </cols>
  <sheetData>
    <row r="1" ht="28" customHeight="1" spans="1:2" s="17" customFormat="1" x14ac:dyDescent="0.25">
      <c r="A1" s="17" t="s">
        <v>241</v>
      </c>
      <c r="B1" s="17" t="s">
        <v>242</v>
      </c>
    </row>
    <row r="2" spans="1:2" s="3" customFormat="1" x14ac:dyDescent="0.25">
      <c r="A2" s="3" t="s">
        <v>243</v>
      </c>
      <c r="B2" s="3" t="s">
        <v>244</v>
      </c>
    </row>
    <row r="3" spans="1:2" s="3" customFormat="1" x14ac:dyDescent="0.25">
      <c r="A3" s="3" t="s">
        <v>245</v>
      </c>
      <c r="B3" s="3" t="s">
        <v>246</v>
      </c>
    </row>
    <row r="4" spans="1:2" s="3" customFormat="1" x14ac:dyDescent="0.25">
      <c r="A4" s="3" t="s">
        <v>247</v>
      </c>
      <c r="B4" s="3" t="s">
        <v>248</v>
      </c>
    </row>
    <row r="5" spans="1:2" s="3" customFormat="1" x14ac:dyDescent="0.25">
      <c r="A5" s="3" t="s">
        <v>249</v>
      </c>
      <c r="B5" s="4">
        <v>46294.424572187505</v>
      </c>
    </row>
    <row r="6" spans="1:2" s="3" customFormat="1" x14ac:dyDescent="0.25">
      <c r="A6" s="3" t="s">
        <v>250</v>
      </c>
      <c r="B6" s="3" t="s">
        <v>251</v>
      </c>
    </row>
    <row r="7" spans="1:2" s="3" customFormat="1" x14ac:dyDescent="0.25">
      <c r="A7" s="3" t="s">
        <v>252</v>
      </c>
      <c r="B7" s="3" t="s">
        <v>253</v>
      </c>
    </row>
  </sheetData>
  <autoFilter ref="A1:B7"/>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Matches</vt:lpstr>
      <vt:lpstr>Needs Review</vt:lpstr>
      <vt:lpstr>Unmatched</vt:lpstr>
      <vt:lpstr>Reconciliation Bridge</vt:lpstr>
      <vt:lpstr>Review Sign-off</vt:lpstr>
      <vt:lpstr>Diagnostics</vt:lpstr>
      <vt:lpstr>Match Evidence</vt:lpstr>
      <vt:lpstr>Review History</vt:lpstr>
      <vt:lpstr>Supplier transactions</vt:lpstr>
      <vt:lpstr>Ledger transactions</vt:lpstr>
      <vt:lpstr>Excluded Rows</vt:lpstr>
      <vt:lpstr>Run Settings</vt:lpstr>
      <vt:lpstr>Parsed Supplier Source</vt:lpstr>
      <vt:lpstr>Parsed Ledger Source</vt:lpstr>
      <vt:lpstr>PDF Row Origins</vt:lpstr>
      <vt:lpstr>Export Metadata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Tarasuf Local</dc:creator>
  <dc:title/>
  <dc:subject/>
  <dc:description/>
  <cp:keywords/>
  <cp:category/>
  <cp:lastModifiedBy>Unknown</cp:lastModifiedBy>
  <dcterms:created xsi:type="dcterms:W3CDTF">2026-09-29T10:11:23Z</dcterms:created>
  <dcterms:modified xsi:type="dcterms:W3CDTF">2026-09-29T10:11:23Z</dcterms:modified>
</cp:coreProperties>
</file>