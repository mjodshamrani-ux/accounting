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<sst xmlns="http://schemas.openxmlformats.org/spreadsheetml/2006/main" count="387" uniqueCount="239">
  <si>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</si>
  <si>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</si>
  <si>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</si>
  <si>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</si>
  <si>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</si>
  <si>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</si>
  <si>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</si>
  <si>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</si>
  <si>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</si>
  <si>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</si>
  <si>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</si>
  <si>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</si>
  <si>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</si>
  <si>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</si>
  <si>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</si>
  <si>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</si>
  <si>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</si>
  <si>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</si>
  <si>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</si>
  <si>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</si>
  <si>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</si>
  <si>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AP-P5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</si>
  <si>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</si>
  <si>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</si>
  <si>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</si>
  <si>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</si>
  <si>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</si>
  <si>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</si>
  <si>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</si>
  <si>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</si>
  <si>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</si>
  <si>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BALANCE_ARITHMETIC_VERIFIED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</si>
  <si>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</si>
  <si>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</si>
  <si>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</si>
  <si>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</si>
  <si>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</si>
  <si>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</si>
  <si>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</si>
  <si>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</si>
  <si>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</si>
  <si>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</si>
  <si>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</si>
  <si>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</si>
  <si>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</si>
  <si>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</si>
  <si>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</si>
  <si>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</si>
  <si>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</si>
  <si>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</si>
  <si>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Arithmetic bridge available; does not prove accounting causes or full reconciliation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</si>
  <si>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</si>
  <si>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</si>
  <si>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</si>
  <si>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</si>
  <si>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</si>
  <si>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</si>
  <si>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</si>
  <si>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</si>
  <si>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</si>
  <si>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</si>
  <si>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</si>
  <si>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</si>
  <si>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</si>
  <si>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</si>
  <si>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</si>
  <si>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</si>
  <si>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</si>
  <si>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</si>
  <si>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</si>
  <si>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</si>
  <si>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</si>
  <si>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</si>
  <si>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</si>
  <si>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</si>
  <si>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</si>
  <si>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</si>
  <si>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</si>
  <si>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</si>
  <si>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</si>
  <si>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</si>
  <si>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</si>
  <si>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</si>
  <si>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</si>
  <si>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</si>
  <si>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</si>
  <si>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CASE-41842599</t>
  </si>
  <si>
    <t>AMOUNT_VARIANCE</t>
  </si>
  <si>
    <t>INV-P5-730 · CSV:2</t>
  </si>
  <si>
    <t>مقابل محدد بالمرجع INV-P5-730 والتاريخ؛ فرق المبلغ 10.00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</si>
  <si>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</si>
  <si>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</si>
  <si>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</si>
  <si>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</si>
  <si>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CSV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</si>
  <si>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</si>
  <si>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</si>
  <si>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</si>
  <si>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</si>
  <si>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</si>
  <si>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</si>
  <si>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</si>
  <si>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</si>
  <si>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</si>
  <si>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</si>
  <si>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</si>
  <si>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</si>
  <si>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</si>
  <si>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</si>
  <si>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</si>
  <si>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OPENING_DIFFERENCE</t>
  </si>
  <si>
    <t>OPENING_BALANCE_DIFFERENCE</t>
  </si>
  <si>
    <t>Ledger opening balance minus supplier opening balance; investigate the earlier period.</t>
  </si>
  <si>
    <t>See source balance row references in Run Settings</t>
  </si>
  <si>
    <t>2 source rows · CASE-41842599</t>
  </si>
  <si>
    <t>Arithmetic bridge only. A zero residual does not prove the accounting causes or complete reconciliation. Review cases and coverage remain separate.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</si>
  <si>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</si>
  <si>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</si>
  <si>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</si>
  <si>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</si>
  <si>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</si>
  <si>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</si>
  <si>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</si>
  <si>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</si>
  <si>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</si>
  <si>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</si>
  <si>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</si>
  <si>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</si>
  <si>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</si>
  <si>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</si>
  <si>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معادلة الرصيد متحققة من الرصيد الافتتاحي والحركات والرصيد الختامي.</t>
  </si>
  <si>
    <t/>
  </si>
  <si>
    <t>المورد: لم يؤكد المستخدم بعد اكتمال تغطية الفترة. هذا لا يغيّر نتيجة اختبار معادلة الرصيد.</t>
  </si>
  <si>
    <t>الدفتر: معادلة الرصيد متحققة من الرصيد الافتتاحي والحركات والرصيد الختامي.</t>
  </si>
  <si>
    <t>الدفتر: لم يؤكد المستخدم بعد اكتمال تغطية الفترة. هذا لا يغيّر نتيجة اختبار معادلة الرصيد.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</si>
  <si>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</si>
  <si>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</si>
  <si>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</si>
  <si>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</si>
  <si>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</si>
  <si>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</si>
  <si>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</si>
  <si>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</si>
  <si>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</si>
  <si>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</si>
  <si>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</si>
  <si>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</si>
  <si>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</si>
  <si>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</si>
  <si>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</si>
  <si>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</si>
  <si>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</si>
  <si>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</si>
  <si>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</si>
  <si>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</si>
  <si>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</si>
  <si>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EXACT_REFERENCE_AMOUNT_VARIANCE_V1</t>
  </si>
  <si>
    <t>supplier</t>
  </si>
  <si>
    <t>supplier:0:2</t>
  </si>
  <si>
    <t>INV-P5-730</t>
  </si>
  <si>
    <t>document-number</t>
  </si>
  <si>
    <t>Document No</t>
  </si>
  <si>
    <t>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</si>
  <si>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</si>
  <si>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</si>
  <si>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</si>
  <si>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</si>
  <si>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</si>
  <si>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</si>
  <si>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</si>
  <si>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</si>
  <si>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</si>
  <si>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</si>
  <si>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</si>
  <si>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</si>
  <si>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</si>
  <si>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</si>
  <si>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</si>
  <si>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INVP5730</t>
  </si>
  <si>
    <t>100.00</t>
  </si>
  <si>
    <t>90.00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</si>
  <si>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</si>
  <si>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</si>
  <si>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</si>
  <si>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</si>
  <si>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</si>
  <si>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</si>
  <si>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</si>
  <si>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</si>
  <si>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</si>
  <si>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</si>
  <si>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Entity","account":"AP-P5","currency":"SAR","decimals":2,"cutoff":"2026-07-31","dateWindow":3,"confirmed":true,"coverageConfirmed":false}</t>
  </si>
  <si>
    <t>Supplier mapping</t>
  </si>
  <si>
    <t>{"sheet":0,"header":0,"date":0,"reference":1,"description":-1,"amount":2,"debit":-1,"credit":-1,"currencyColumn":-1,"mode":"signed","multiplier":1,"numberFormat":"dot","dateFormat":"ymd","reportType":"transactions","opening":"100","closing":"200","periodStart":"2026-07-01","excluded":{}}</t>
  </si>
  <si>
    <t>Ledger mapping</t>
  </si>
  <si>
    <t>{"sheet":0,"header":0,"date":0,"reference":1,"description":-1,"amount":2,"debit":-1,"credit":-1,"currencyColumn":-1,"mode":"signed","multiplier":1,"numberFormat":"dot","dateFormat":"ymd","reportType":"transactions","opening":"0","closing":"90","periodStart":"2026-07-01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</si>
  <si>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</si>
  <si>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</si>
  <si>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</si>
  <si>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</si>
  <si>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</si>
  <si>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</si>
  <si>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</si>
  <si>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</si>
  <si>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</si>
  <si>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</si>
  <si>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</si>
  <si>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</si>
  <si>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balanced-variance-supplier.csv</t>
  </si>
  <si>
    <t>Ledger filename</t>
  </si>
  <si>
    <t>balanced-variance-ledger.csv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</si>
  <si>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</si>
  <si>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</si>
  <si>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</si>
  <si>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</si>
  <si>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</si>
  <si>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</si>
  <si>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</si>
  <si>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</si>
  <si>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</si>
  <si>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</si>
  <si>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Source Book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</si>
  <si>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</si>
  <si>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</si>
  <si>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</si>
  <si>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</si>
  <si>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</si>
  <si>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</si>
  <si>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</si>
  <si>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</si>
  <si>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</si>
  <si>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c96b8b4051a629e48b02ab24ee1cc90c8bcdd789c7f8b653582fc232db41e1e6</t>
  </si>
  <si>
    <t>Ledger SHA-256</t>
  </si>
  <si>
    <t>9470b20a6b104d227651520db65863007c275104af9980870b40554945b5724a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</si>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</sst>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>
        <v>46204</v>
      </c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>
        <v>46204</v>
      </c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>
        <v>100</v>
      </c>
    </row>
    <row r="18" ht="30" customHeight="1" spans="1:2" s="3" customFormat="1" x14ac:dyDescent="0.25">
      <c r="A18" s="3" t="s">
        <v>25</v>
      </c>
      <c r="B18" s="5">
        <v>0</v>
      </c>
    </row>
    <row r="19" ht="30" customHeight="1" spans="1:2" s="3" customFormat="1" x14ac:dyDescent="0.25">
      <c r="A19" s="3" t="s">
        <v>26</v>
      </c>
      <c r="B19" s="5">
        <v>200</v>
      </c>
    </row>
    <row r="20" ht="30" customHeight="1" spans="1:2" s="3" customFormat="1" x14ac:dyDescent="0.25">
      <c r="A20" s="3" t="s">
        <v>27</v>
      </c>
      <c r="B20" s="5">
        <v>90</v>
      </c>
    </row>
    <row r="21" ht="30" customHeight="1" spans="1:2" s="3" customFormat="1" x14ac:dyDescent="0.25">
      <c r="A21" s="3" t="s">
        <v>28</v>
      </c>
      <c r="B21" s="5">
        <f>B17-B18</f>
        <v>100</v>
      </c>
    </row>
    <row r="22" ht="30" customHeight="1" spans="1:2" s="3" customFormat="1" x14ac:dyDescent="0.25">
      <c r="A22" s="3" t="s">
        <v>29</v>
      </c>
      <c r="B22" s="5">
        <f>B19-B20</f>
        <v>110</v>
      </c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0</v>
      </c>
    </row>
    <row r="29" ht="30" customHeight="1" spans="1:2" s="3" customFormat="1" x14ac:dyDescent="0.25">
      <c r="A29" s="3" t="s">
        <v>39</v>
      </c>
      <c r="B29" s="6">
        <f>SUM('Matches'!O2:P2)</f>
        <v>0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-110</v>
      </c>
    </row>
    <row r="37" ht="30" customHeight="1" spans="1:2" s="3" customFormat="1" x14ac:dyDescent="0.25">
      <c r="A37" s="3" t="s">
        <v>47</v>
      </c>
      <c r="B37" s="5">
        <f>'Reconciliation Bridge'!E7</f>
        <v>90</v>
      </c>
    </row>
    <row r="38" ht="30" customHeight="1" spans="1:2" s="3" customFormat="1" x14ac:dyDescent="0.25">
      <c r="A38" s="3" t="s">
        <v>48</v>
      </c>
      <c r="B38" s="5">
        <f>'Reconciliation Bridge'!E9</f>
        <v>0</v>
      </c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57</v>
      </c>
      <c r="B1" s="2" t="s">
        <v>74</v>
      </c>
      <c r="C1" s="2" t="s">
        <v>75</v>
      </c>
      <c r="D1" s="2" t="s">
        <v>76</v>
      </c>
      <c r="E1" s="8" t="s">
        <v>77</v>
      </c>
      <c r="F1" s="8" t="s">
        <v>78</v>
      </c>
      <c r="G1" s="8" t="s">
        <v>79</v>
      </c>
      <c r="H1" s="2" t="s">
        <v>68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69</v>
      </c>
      <c r="N1" s="2" t="s">
        <v>71</v>
      </c>
      <c r="O1" s="2" t="s">
        <v>72</v>
      </c>
      <c r="P1" s="2" t="s">
        <v>84</v>
      </c>
      <c r="Q1" s="2" t="s">
        <v>85</v>
      </c>
    </row>
    <row r="2" ht="42" customHeight="1" spans="1:17" s="9" customFormat="1" x14ac:dyDescent="0.25">
      <c r="A2" s="10" t="s">
        <v>86</v>
      </c>
      <c r="B2" s="10" t="s">
        <v>87</v>
      </c>
      <c r="C2" s="10" t="s">
        <v>88</v>
      </c>
      <c r="D2" s="10" t="s">
        <v>88</v>
      </c>
      <c r="E2" s="11">
        <v>100</v>
      </c>
      <c r="F2" s="11">
        <v>90</v>
      </c>
      <c r="G2" s="11">
        <v>10</v>
      </c>
      <c r="H2" s="10" t="s">
        <v>89</v>
      </c>
      <c r="I2" s="10" t="s">
        <v>90</v>
      </c>
      <c r="J2" s="10" t="s">
        <v>91</v>
      </c>
      <c r="K2" s="10" t="s">
        <v>92</v>
      </c>
      <c r="L2" s="9"/>
      <c r="M2" s="10" t="s">
        <v>93</v>
      </c>
      <c r="N2" s="10">
        <v>1</v>
      </c>
      <c r="O2" s="10">
        <v>1</v>
      </c>
      <c r="P2" s="12" t="s">
        <v>94</v>
      </c>
      <c r="Q2" s="12" t="s">
        <v>95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74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2" ht="42" customHeight="1" spans="1:8" x14ac:dyDescent="0.25">
      <c r="A2" s="3" t="s">
        <v>110</v>
      </c>
      <c r="B2" s="3" t="s">
        <v>111</v>
      </c>
      <c r="C2" s="13">
        <v>100</v>
      </c>
      <c r="D2" s="13">
        <v>0</v>
      </c>
      <c r="E2" s="13">
        <v>-100</v>
      </c>
      <c r="F2" s="3" t="s">
        <v>112</v>
      </c>
      <c r="G2" s="3" t="s">
        <v>93</v>
      </c>
      <c r="H2" s="3" t="s">
        <v>113</v>
      </c>
    </row>
    <row r="3" ht="42" customHeight="1" spans="1:8" x14ac:dyDescent="0.25">
      <c r="A3" s="3" t="s">
        <v>86</v>
      </c>
      <c r="B3" s="3" t="s">
        <v>87</v>
      </c>
      <c r="C3" s="13">
        <v>100</v>
      </c>
      <c r="D3" s="13">
        <v>90</v>
      </c>
      <c r="E3" s="13">
        <v>-10</v>
      </c>
      <c r="F3" s="3" t="s">
        <v>89</v>
      </c>
      <c r="G3" s="3" t="s">
        <v>93</v>
      </c>
      <c r="H3" s="14" t="s">
        <v>114</v>
      </c>
    </row>
    <row r="5" ht="32" customHeight="1" spans="4:5" x14ac:dyDescent="0.25">
      <c r="D5" s="15" t="s">
        <v>46</v>
      </c>
      <c r="E5" s="7">
        <f>SUM(E2:E3)</f>
        <v>-110</v>
      </c>
    </row>
    <row r="6" ht="32" customHeight="1" spans="4:5" x14ac:dyDescent="0.25">
      <c r="D6" s="15" t="s">
        <v>26</v>
      </c>
      <c r="E6" s="7">
        <v>200</v>
      </c>
    </row>
    <row r="7" ht="32" customHeight="1" spans="4:5" x14ac:dyDescent="0.25">
      <c r="D7" s="15" t="s">
        <v>47</v>
      </c>
      <c r="E7" s="7">
        <f>SUM(E5:E6)</f>
        <v>90</v>
      </c>
    </row>
    <row r="8" ht="32" customHeight="1" spans="4:5" x14ac:dyDescent="0.25">
      <c r="D8" s="15" t="s">
        <v>27</v>
      </c>
      <c r="E8" s="7">
        <v>90</v>
      </c>
    </row>
    <row r="9" ht="32" customHeight="1" spans="4:5" x14ac:dyDescent="0.25">
      <c r="D9" s="15" t="s">
        <v>48</v>
      </c>
      <c r="E9" s="7">
        <f>E7-E8</f>
        <v>0</v>
      </c>
    </row>
    <row r="11" spans="1:8" x14ac:dyDescent="0.25">
      <c r="A11" s="16" t="s">
        <v>115</v>
      </c>
      <c r="B11" s="16"/>
      <c r="C11" s="16"/>
      <c r="D11" s="16"/>
      <c r="E11" s="16"/>
      <c r="F11" s="16"/>
      <c r="G11" s="16"/>
      <c r="H11" s="16"/>
    </row>
    <row r="12" spans="1:8" x14ac:dyDescent="0.25">
      <c r="A12" s="16"/>
      <c r="B12" s="16"/>
      <c r="C12" s="16"/>
      <c r="D12" s="16"/>
      <c r="E12" s="16"/>
      <c r="F12" s="16"/>
      <c r="G12" s="16"/>
      <c r="H12" s="16"/>
    </row>
  </sheetData>
  <autoFilter ref="A1:H3"/>
  <mergeCells count="1">
    <mergeCell ref="A11:H12"/>
  </mergeCells>
  <hyperlinks>
    <hyperlink ref="H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116</v>
      </c>
    </row>
    <row r="3" ht="42" customHeight="1" spans="1:2" x14ac:dyDescent="0.25">
      <c r="A3" s="3" t="s">
        <v>117</v>
      </c>
    </row>
    <row r="4" ht="42" customHeight="1" spans="1:2" x14ac:dyDescent="0.25">
      <c r="A4" s="3" t="s">
        <v>118</v>
      </c>
      <c r="B4" s="3" t="s">
        <v>119</v>
      </c>
    </row>
    <row r="5" ht="42" customHeight="1" spans="1:2" x14ac:dyDescent="0.25">
      <c r="A5" s="3" t="s">
        <v>120</v>
      </c>
      <c r="B5" s="3" t="s">
        <v>92</v>
      </c>
    </row>
    <row r="6" ht="42" customHeight="1" spans="1:2" x14ac:dyDescent="0.25">
      <c r="A6" s="3" t="s">
        <v>121</v>
      </c>
      <c r="B6" s="3" t="s">
        <v>122</v>
      </c>
    </row>
    <row r="7" ht="42" customHeight="1" spans="1:2" x14ac:dyDescent="0.25">
      <c r="A7" s="3" t="s">
        <v>123</v>
      </c>
    </row>
    <row r="8" ht="42" customHeight="1" spans="1:2" x14ac:dyDescent="0.25">
      <c r="A8" s="3" t="s">
        <v>2</v>
      </c>
      <c r="B8" s="3" t="s">
        <v>124</v>
      </c>
    </row>
    <row r="9" ht="42" customHeight="1" spans="1:2" x14ac:dyDescent="0.25">
      <c r="A9" s="3" t="s">
        <v>125</v>
      </c>
      <c r="B9" s="14" t="s">
        <v>126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127</v>
      </c>
      <c r="B1" s="17" t="s">
        <v>128</v>
      </c>
      <c r="C1" s="17" t="s">
        <v>129</v>
      </c>
    </row>
    <row r="2" spans="1:3" s="3" customFormat="1" x14ac:dyDescent="0.25">
      <c r="A2" s="3" t="s">
        <v>31</v>
      </c>
      <c r="B2" s="3" t="s">
        <v>130</v>
      </c>
      <c r="C2" s="3" t="s">
        <v>131</v>
      </c>
    </row>
    <row r="3" spans="1:3" s="3" customFormat="1" x14ac:dyDescent="0.25">
      <c r="A3" s="3" t="s">
        <v>37</v>
      </c>
      <c r="B3" s="3" t="s">
        <v>132</v>
      </c>
      <c r="C3" s="3" t="s">
        <v>131</v>
      </c>
    </row>
    <row r="4" spans="1:3" s="3" customFormat="1" x14ac:dyDescent="0.25">
      <c r="A4" s="3" t="s">
        <v>31</v>
      </c>
      <c r="B4" s="3" t="s">
        <v>133</v>
      </c>
      <c r="C4" s="3" t="s">
        <v>131</v>
      </c>
    </row>
    <row r="5" spans="1:3" s="3" customFormat="1" x14ac:dyDescent="0.25">
      <c r="A5" s="3" t="s">
        <v>37</v>
      </c>
      <c r="B5" s="3" t="s">
        <v>134</v>
      </c>
      <c r="C5" s="3" t="s">
        <v>131</v>
      </c>
    </row>
    <row r="6" spans="1:3" s="3" customFormat="1" x14ac:dyDescent="0.25">
      <c r="A6" s="3" t="s">
        <v>87</v>
      </c>
      <c r="B6" s="3" t="s">
        <v>89</v>
      </c>
      <c r="C6" s="3" t="s">
        <v>135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6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74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136</v>
      </c>
      <c r="H1" s="17" t="s">
        <v>137</v>
      </c>
      <c r="I1" s="17" t="s">
        <v>138</v>
      </c>
      <c r="J1" s="17" t="s">
        <v>139</v>
      </c>
      <c r="K1" s="17" t="s">
        <v>97</v>
      </c>
      <c r="L1" s="17" t="s">
        <v>140</v>
      </c>
      <c r="M1" s="17" t="s">
        <v>141</v>
      </c>
      <c r="N1" s="17" t="s">
        <v>142</v>
      </c>
      <c r="O1" s="17" t="s">
        <v>143</v>
      </c>
      <c r="P1" s="17" t="s">
        <v>144</v>
      </c>
      <c r="Q1" s="17" t="s">
        <v>145</v>
      </c>
      <c r="R1" s="17" t="s">
        <v>8</v>
      </c>
      <c r="S1" s="18" t="s">
        <v>102</v>
      </c>
      <c r="T1" s="17" t="s">
        <v>104</v>
      </c>
      <c r="U1" s="17" t="s">
        <v>146</v>
      </c>
      <c r="V1" s="17" t="s">
        <v>147</v>
      </c>
      <c r="W1" s="17" t="s">
        <v>148</v>
      </c>
      <c r="X1" s="17" t="s">
        <v>149</v>
      </c>
      <c r="Y1" s="17" t="s">
        <v>150</v>
      </c>
      <c r="Z1" s="17" t="s">
        <v>151</v>
      </c>
      <c r="AA1" s="17" t="s">
        <v>98</v>
      </c>
      <c r="AB1" s="17" t="s">
        <v>152</v>
      </c>
      <c r="AC1" s="17" t="s">
        <v>153</v>
      </c>
      <c r="AD1" s="17" t="s">
        <v>154</v>
      </c>
      <c r="AE1" s="17" t="s">
        <v>155</v>
      </c>
    </row>
    <row r="2" spans="1:31" s="3" customFormat="1" x14ac:dyDescent="0.25">
      <c r="A2" s="3" t="s">
        <v>86</v>
      </c>
      <c r="B2" s="3" t="s">
        <v>87</v>
      </c>
      <c r="C2" s="3" t="s">
        <v>93</v>
      </c>
      <c r="D2" s="3" t="s">
        <v>156</v>
      </c>
      <c r="E2" s="3" t="s">
        <v>89</v>
      </c>
      <c r="F2" s="3" t="s">
        <v>157</v>
      </c>
      <c r="G2" s="3" t="s">
        <v>158</v>
      </c>
      <c r="H2" s="3" t="s">
        <v>16</v>
      </c>
      <c r="I2" s="3">
        <v>2</v>
      </c>
      <c r="J2" s="3" t="s">
        <v>131</v>
      </c>
      <c r="K2" s="4">
        <v>46220</v>
      </c>
      <c r="L2" s="3" t="s">
        <v>159</v>
      </c>
      <c r="M2" s="3" t="s">
        <v>159</v>
      </c>
      <c r="N2" s="3" t="s">
        <v>131</v>
      </c>
      <c r="O2" s="3" t="s">
        <v>131</v>
      </c>
      <c r="P2" s="3" t="s">
        <v>131</v>
      </c>
      <c r="Q2" s="3" t="s">
        <v>131</v>
      </c>
      <c r="R2" s="3" t="s">
        <v>9</v>
      </c>
      <c r="S2" s="13">
        <v>100</v>
      </c>
      <c r="T2" s="3" t="s">
        <v>94</v>
      </c>
      <c r="U2" s="3" t="s">
        <v>131</v>
      </c>
      <c r="V2" s="3" t="s">
        <v>131</v>
      </c>
      <c r="W2" s="3" t="s">
        <v>131</v>
      </c>
      <c r="X2" s="3" t="s">
        <v>160</v>
      </c>
      <c r="Y2" s="3" t="s">
        <v>161</v>
      </c>
      <c r="Z2" s="3">
        <v>2</v>
      </c>
      <c r="AA2" s="3" t="s">
        <v>162</v>
      </c>
      <c r="AB2" s="3" t="s">
        <v>131</v>
      </c>
      <c r="AC2" s="3" t="s">
        <v>131</v>
      </c>
      <c r="AD2" s="3" t="s">
        <v>131</v>
      </c>
      <c r="AE2" s="3" t="s">
        <v>131</v>
      </c>
    </row>
    <row r="3" spans="1:31" s="3" customFormat="1" x14ac:dyDescent="0.25">
      <c r="A3" s="3" t="s">
        <v>86</v>
      </c>
      <c r="B3" s="3" t="s">
        <v>87</v>
      </c>
      <c r="C3" s="3" t="s">
        <v>93</v>
      </c>
      <c r="D3" s="3" t="s">
        <v>156</v>
      </c>
      <c r="E3" s="3" t="s">
        <v>89</v>
      </c>
      <c r="F3" s="3" t="s">
        <v>163</v>
      </c>
      <c r="G3" s="3" t="s">
        <v>164</v>
      </c>
      <c r="H3" s="3" t="s">
        <v>16</v>
      </c>
      <c r="I3" s="3">
        <v>2</v>
      </c>
      <c r="J3" s="3" t="s">
        <v>131</v>
      </c>
      <c r="K3" s="4">
        <v>46220</v>
      </c>
      <c r="L3" s="3" t="s">
        <v>159</v>
      </c>
      <c r="M3" s="3" t="s">
        <v>159</v>
      </c>
      <c r="N3" s="3" t="s">
        <v>131</v>
      </c>
      <c r="O3" s="3" t="s">
        <v>131</v>
      </c>
      <c r="P3" s="3" t="s">
        <v>131</v>
      </c>
      <c r="Q3" s="3" t="s">
        <v>131</v>
      </c>
      <c r="R3" s="3" t="s">
        <v>9</v>
      </c>
      <c r="S3" s="13">
        <v>90</v>
      </c>
      <c r="T3" s="3" t="s">
        <v>95</v>
      </c>
      <c r="U3" s="3" t="s">
        <v>131</v>
      </c>
      <c r="V3" s="3" t="s">
        <v>131</v>
      </c>
      <c r="W3" s="3" t="s">
        <v>131</v>
      </c>
      <c r="X3" s="3" t="s">
        <v>160</v>
      </c>
      <c r="Y3" s="3" t="s">
        <v>161</v>
      </c>
      <c r="Z3" s="3">
        <v>2</v>
      </c>
      <c r="AA3" s="3" t="s">
        <v>162</v>
      </c>
      <c r="AB3" s="3" t="s">
        <v>131</v>
      </c>
      <c r="AC3" s="3" t="s">
        <v>131</v>
      </c>
      <c r="AD3" s="3" t="s">
        <v>131</v>
      </c>
      <c r="AE3" s="3" t="s">
        <v>131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158</v>
      </c>
      <c r="B2" s="3" t="s">
        <v>16</v>
      </c>
      <c r="C2" s="3">
        <v>2</v>
      </c>
      <c r="D2" s="4">
        <v>46220</v>
      </c>
      <c r="E2" s="3" t="s">
        <v>159</v>
      </c>
      <c r="F2" s="3" t="s">
        <v>178</v>
      </c>
      <c r="G2" s="3" t="s">
        <v>131</v>
      </c>
      <c r="H2" s="13">
        <v>100</v>
      </c>
      <c r="I2" s="3" t="s">
        <v>179</v>
      </c>
      <c r="J2" s="3" t="s">
        <v>131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164</v>
      </c>
      <c r="B2" s="3" t="s">
        <v>16</v>
      </c>
      <c r="C2" s="3">
        <v>2</v>
      </c>
      <c r="D2" s="4">
        <v>46220</v>
      </c>
      <c r="E2" s="3" t="s">
        <v>159</v>
      </c>
      <c r="F2" s="3" t="s">
        <v>178</v>
      </c>
      <c r="G2" s="3" t="s">
        <v>131</v>
      </c>
      <c r="H2" s="13">
        <v>90</v>
      </c>
      <c r="I2" s="3" t="s">
        <v>180</v>
      </c>
      <c r="J2" s="3" t="s">
        <v>131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181</v>
      </c>
      <c r="B1" s="17" t="s">
        <v>170</v>
      </c>
      <c r="C1" s="17" t="s">
        <v>182</v>
      </c>
      <c r="D1" s="17" t="s">
        <v>183</v>
      </c>
    </row>
    <row r="2" spans="1:4" s="3" customFormat="1" x14ac:dyDescent="0.25">
      <c r="A2" s="3" t="s">
        <v>184</v>
      </c>
      <c r="B2" s="3">
        <v>1</v>
      </c>
      <c r="C2" s="3" t="s">
        <v>185</v>
      </c>
      <c r="D2" s="3" t="s">
        <v>186</v>
      </c>
    </row>
    <row r="3" spans="1:4" s="3" customFormat="1" x14ac:dyDescent="0.25">
      <c r="A3" s="3" t="s">
        <v>187</v>
      </c>
      <c r="B3" s="3">
        <v>1</v>
      </c>
      <c r="C3" s="3" t="s">
        <v>185</v>
      </c>
      <c r="D3" s="3" t="s">
        <v>186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188</v>
      </c>
      <c r="B1" s="17" t="s">
        <v>189</v>
      </c>
    </row>
    <row r="2" spans="1:2" s="3" customFormat="1" x14ac:dyDescent="0.25">
      <c r="A2" s="3" t="s">
        <v>190</v>
      </c>
      <c r="B2" s="3" t="s">
        <v>191</v>
      </c>
    </row>
    <row r="3" spans="1:2" s="3" customFormat="1" x14ac:dyDescent="0.25">
      <c r="A3" s="3" t="s">
        <v>192</v>
      </c>
      <c r="B3" s="3" t="s">
        <v>193</v>
      </c>
    </row>
    <row r="4" spans="1:2" s="3" customFormat="1" x14ac:dyDescent="0.25">
      <c r="A4" s="3" t="s">
        <v>194</v>
      </c>
      <c r="B4" s="3" t="s">
        <v>195</v>
      </c>
    </row>
    <row r="5" spans="1:2" s="3" customFormat="1" x14ac:dyDescent="0.25">
      <c r="A5" s="3" t="s">
        <v>196</v>
      </c>
      <c r="B5" s="3" t="s">
        <v>197</v>
      </c>
    </row>
    <row r="6" spans="1:2" s="3" customFormat="1" x14ac:dyDescent="0.25">
      <c r="A6" s="3" t="s">
        <v>198</v>
      </c>
      <c r="B6" s="3" t="s">
        <v>197</v>
      </c>
    </row>
    <row r="7" spans="1:2" s="3" customFormat="1" x14ac:dyDescent="0.25">
      <c r="A7" s="3" t="s">
        <v>199</v>
      </c>
      <c r="B7" s="3" t="s">
        <v>200</v>
      </c>
    </row>
    <row r="8" spans="1:2" s="3" customFormat="1" x14ac:dyDescent="0.25">
      <c r="A8" s="3" t="s">
        <v>201</v>
      </c>
      <c r="B8" s="3" t="s">
        <v>200</v>
      </c>
    </row>
    <row r="9" spans="1:2" s="3" customFormat="1" x14ac:dyDescent="0.25">
      <c r="A9" s="3" t="s">
        <v>202</v>
      </c>
      <c r="B9" s="3" t="s">
        <v>203</v>
      </c>
    </row>
    <row r="10" spans="1:2" s="3" customFormat="1" x14ac:dyDescent="0.25">
      <c r="A10" s="3" t="s">
        <v>204</v>
      </c>
      <c r="B10" s="3" t="s">
        <v>203</v>
      </c>
    </row>
    <row r="11" spans="1:2" s="3" customFormat="1" x14ac:dyDescent="0.25">
      <c r="A11" s="3" t="s">
        <v>205</v>
      </c>
      <c r="B11" s="3" t="s">
        <v>206</v>
      </c>
    </row>
    <row r="12" spans="1:2" s="3" customFormat="1" x14ac:dyDescent="0.25">
      <c r="A12" s="3" t="s">
        <v>207</v>
      </c>
      <c r="B12" s="3" t="s">
        <v>208</v>
      </c>
    </row>
    <row r="13" spans="1:2" s="3" customFormat="1" x14ac:dyDescent="0.25">
      <c r="A13" s="3" t="s">
        <v>209</v>
      </c>
      <c r="B13" s="3" t="s">
        <v>210</v>
      </c>
    </row>
    <row r="14" spans="1:2" s="3" customFormat="1" x14ac:dyDescent="0.25">
      <c r="A14" s="3" t="s">
        <v>211</v>
      </c>
      <c r="B14" s="3" t="s">
        <v>131</v>
      </c>
    </row>
    <row r="15" spans="1:2" s="3" customFormat="1" x14ac:dyDescent="0.25">
      <c r="A15" s="3" t="s">
        <v>212</v>
      </c>
      <c r="B15" s="3" t="s">
        <v>131</v>
      </c>
    </row>
    <row r="16" spans="1:2" s="3" customFormat="1" x14ac:dyDescent="0.25">
      <c r="A16" s="3" t="s">
        <v>213</v>
      </c>
      <c r="B16" s="3" t="s">
        <v>214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170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</row>
    <row r="2" spans="1:6" s="3" customFormat="1" x14ac:dyDescent="0.25">
      <c r="A2" s="3">
        <v>1</v>
      </c>
      <c r="B2" s="3" t="s">
        <v>97</v>
      </c>
      <c r="C2" s="3" t="s">
        <v>161</v>
      </c>
      <c r="D2" s="3" t="s">
        <v>102</v>
      </c>
      <c r="E2" s="3" t="s">
        <v>220</v>
      </c>
      <c r="F2" s="3" t="s">
        <v>221</v>
      </c>
    </row>
    <row r="3" spans="1:6" s="3" customFormat="1" x14ac:dyDescent="0.25">
      <c r="A3" s="3">
        <v>2</v>
      </c>
      <c r="B3" s="3" t="s">
        <v>222</v>
      </c>
      <c r="C3" s="3" t="s">
        <v>159</v>
      </c>
      <c r="D3" s="3" t="s">
        <v>179</v>
      </c>
      <c r="E3" s="3" t="s">
        <v>162</v>
      </c>
      <c r="F3" s="3" t="s">
        <v>157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170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</row>
    <row r="2" spans="1:6" s="3" customFormat="1" x14ac:dyDescent="0.25">
      <c r="A2" s="3">
        <v>1</v>
      </c>
      <c r="B2" s="3" t="s">
        <v>97</v>
      </c>
      <c r="C2" s="3" t="s">
        <v>161</v>
      </c>
      <c r="D2" s="3" t="s">
        <v>102</v>
      </c>
      <c r="E2" s="3" t="s">
        <v>220</v>
      </c>
      <c r="F2" s="3" t="s">
        <v>221</v>
      </c>
    </row>
    <row r="3" spans="1:6" s="3" customFormat="1" x14ac:dyDescent="0.25">
      <c r="A3" s="3">
        <v>2</v>
      </c>
      <c r="B3" s="3" t="s">
        <v>222</v>
      </c>
      <c r="C3" s="3" t="s">
        <v>159</v>
      </c>
      <c r="D3" s="3" t="s">
        <v>180</v>
      </c>
      <c r="E3" s="3" t="s">
        <v>162</v>
      </c>
      <c r="F3" s="3" t="s">
        <v>163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181</v>
      </c>
      <c r="B1" s="17" t="s">
        <v>223</v>
      </c>
      <c r="C1" s="17" t="s">
        <v>224</v>
      </c>
      <c r="D1" s="17" t="s">
        <v>225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226</v>
      </c>
      <c r="B1" s="17" t="s">
        <v>227</v>
      </c>
    </row>
    <row r="2" spans="1:2" s="3" customFormat="1" x14ac:dyDescent="0.25">
      <c r="A2" s="3" t="s">
        <v>228</v>
      </c>
      <c r="B2" s="3" t="s">
        <v>229</v>
      </c>
    </row>
    <row r="3" spans="1:2" s="3" customFormat="1" x14ac:dyDescent="0.25">
      <c r="A3" s="3" t="s">
        <v>230</v>
      </c>
      <c r="B3" s="3" t="s">
        <v>231</v>
      </c>
    </row>
    <row r="4" spans="1:2" s="3" customFormat="1" x14ac:dyDescent="0.25">
      <c r="A4" s="3" t="s">
        <v>232</v>
      </c>
      <c r="B4" s="3" t="s">
        <v>233</v>
      </c>
    </row>
    <row r="5" spans="1:2" s="3" customFormat="1" x14ac:dyDescent="0.25">
      <c r="A5" s="3" t="s">
        <v>234</v>
      </c>
      <c r="B5" s="4">
        <v>46295.768964999996</v>
      </c>
    </row>
    <row r="6" spans="1:2" s="3" customFormat="1" x14ac:dyDescent="0.25">
      <c r="A6" s="3" t="s">
        <v>235</v>
      </c>
      <c r="B6" s="3" t="s">
        <v>236</v>
      </c>
    </row>
    <row r="7" spans="1:2" s="3" customFormat="1" x14ac:dyDescent="0.25">
      <c r="A7" s="3" t="s">
        <v>237</v>
      </c>
      <c r="B7" s="3" t="s">
        <v>238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2026-09-30T18:27:18Z</dcterms:created>
  <dcterms:modified xsi:type="dcterms:W3CDTF">2026-09-30T18:27:18Z</dcterms:modified>
</cp:coreProperties>
</file>